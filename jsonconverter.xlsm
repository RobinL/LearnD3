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35" windowWidth="18135" windowHeight="17370"/>
  </bookViews>
  <sheets>
    <sheet name="Sheet1" sheetId="1" r:id="rId1"/>
    <sheet name="Sheet2" sheetId="2" r:id="rId2"/>
    <sheet name="Sheet3" sheetId="3" r:id="rId3"/>
  </sheets>
  <functionGroups/>
  <definedNames>
    <definedName name="myce">Sheet1!$H$16</definedName>
    <definedName name="MyCells">Sheet1!$C$1:$CI$14</definedName>
  </definedNames>
  <calcPr calcId="125725"/>
</workbook>
</file>

<file path=xl/calcChain.xml><?xml version="1.0" encoding="utf-8"?>
<calcChain xmlns="http://schemas.openxmlformats.org/spreadsheetml/2006/main">
  <c r="O2" i="1"/>
  <c r="AC10"/>
  <c r="AC9"/>
  <c r="AC8"/>
  <c r="AC7"/>
  <c r="AC6"/>
  <c r="AC5"/>
  <c r="AC4"/>
  <c r="AC3"/>
  <c r="V10"/>
  <c r="V9"/>
  <c r="V8"/>
  <c r="V7"/>
  <c r="V6"/>
  <c r="V5"/>
  <c r="V4"/>
  <c r="V3"/>
  <c r="O10"/>
  <c r="O9"/>
  <c r="O8"/>
  <c r="O7"/>
  <c r="O6"/>
  <c r="O5"/>
  <c r="O4"/>
  <c r="O3"/>
  <c r="AC2"/>
  <c r="V2"/>
</calcChain>
</file>

<file path=xl/sharedStrings.xml><?xml version="1.0" encoding="utf-8"?>
<sst xmlns="http://schemas.openxmlformats.org/spreadsheetml/2006/main" count="187" uniqueCount="69">
  <si>
    <t>Narrative_(0),_Specific_(1)_or_G</t>
  </si>
  <si>
    <t>offenceName</t>
  </si>
  <si>
    <t>Guideline?</t>
  </si>
  <si>
    <t>guideline</t>
  </si>
  <si>
    <t>section</t>
  </si>
  <si>
    <t>page</t>
  </si>
  <si>
    <t>Bottom_of_offence_range_result</t>
  </si>
  <si>
    <t>Bottom_of_offence_range</t>
  </si>
  <si>
    <t>Top_of_range_result</t>
  </si>
  <si>
    <t>Top_of_range</t>
  </si>
  <si>
    <t>Codes</t>
  </si>
  <si>
    <t>Assault occasioning actual bodily harm (new)</t>
  </si>
  <si>
    <t>Yes</t>
  </si>
  <si>
    <t>Assault: Definitive Guideline (New SC)</t>
  </si>
  <si>
    <t>Offences against the Person Act 1861 (section 47)</t>
  </si>
  <si>
    <t>12</t>
  </si>
  <si>
    <t>Assault on a police constable in execution of his duty (new)</t>
  </si>
  <si>
    <t>Police Act 1996 (section 89)</t>
  </si>
  <si>
    <t>21</t>
  </si>
  <si>
    <t>Assault with intent to resist arrest (new)</t>
  </si>
  <si>
    <t>Offences against the Person Act 1861 (section 38)</t>
  </si>
  <si>
    <t>17</t>
  </si>
  <si>
    <t>Causing grievous bodily harm with intent to do grievous bodily harm/Wounding with intent to do grievous bodily harm (new)</t>
  </si>
  <si>
    <t>Offences against the Person Act 1861 (section 18)</t>
  </si>
  <si>
    <t>5</t>
  </si>
  <si>
    <t>Common Assault (new)</t>
  </si>
  <si>
    <t>Criminal Justice Act 1988 (section 39)</t>
  </si>
  <si>
    <t>24</t>
  </si>
  <si>
    <t>Inflicting grievous bodily harm/Unlawful wounding (new)</t>
  </si>
  <si>
    <t>Offences against the Person Act 1861 (section 20)</t>
  </si>
  <si>
    <t>8</t>
  </si>
  <si>
    <t>Racially/religiously aggravated ABH (new)</t>
  </si>
  <si>
    <t>Crime and Disorder Act 1998 (section 29)</t>
  </si>
  <si>
    <t>Racially/religiously aggravated common assault (new)</t>
  </si>
  <si>
    <t>Racially/religiously aggravated GBH/Unlawful wounding (new)</t>
  </si>
  <si>
    <t>top</t>
  </si>
  <si>
    <t>startingPoint</t>
  </si>
  <si>
    <t>bottom</t>
  </si>
  <si>
    <t>statutoryMaximum</t>
  </si>
  <si>
    <t>offenceNameLong</t>
  </si>
  <si>
    <t>ABH</t>
  </si>
  <si>
    <t>Assault on PC</t>
  </si>
  <si>
    <t>Assault with intent to resist arrest</t>
  </si>
  <si>
    <t>GBH with intent</t>
  </si>
  <si>
    <t>Common assault</t>
  </si>
  <si>
    <t>GBH</t>
  </si>
  <si>
    <t>RABH</t>
  </si>
  <si>
    <t>Rcommon assault</t>
  </si>
  <si>
    <t>RGBH</t>
  </si>
  <si>
    <t>{2001Q1: {aboveRange:0.2%,belowRange:9.5%,inRange:90%}},{2001Q2: {aboveRange:0.2%,belowRange:9.5%,inRange:90%}},{2001Q3: {aboveRange:0.2%,belowRange:9.6%,inRange:90%}},{2001Q4: {aboveRange:0.2%,belowRange:8.1%,inRange:92%}},{2002Q1: {aboveRange:0.2%,belowRange:8.8%,inRange:91%}},{2002Q2: {aboveRange:0.4%,belowRange:8.7%,inRange:91%}},{2002Q3: {aboveRange:0.3%,belowRange:9.2%,inRange:90%}},{2002Q4: {aboveRange:0.3%,belowRange:8.4%,inRange:91%}},{2003Q1: {aboveRange:0.1%,belowRange:9.0%,inRange:91%}},{2003Q2: {aboveRange:0.1%,belowRange:9.5%,inRange:90%}},{2003Q3: {aboveRange:0.5%,belowRange:8.9%,inRange:91%}},{2003Q4: {aboveRange:0.3%,belowRange:7.7%,inRange:92%}},{2004Q1: {aboveRange:0.4%,belowRange:9.0%,inRange:91%}},{2004Q2: {aboveRange:0.3%,belowRange:7.5%,inRange:92%}},{2004Q3: {aboveRange:0.3%,belowRange:7.3%,inRange:92%}},{2004Q4: {aboveRange:0.3%,belowRange:6.8%,inRange:93%}},{2005Q1: {aboveRange:0.2%,belowRange:6.2%,inRange:94%}},{2005Q2: {aboveRange:0.3%,belowRange:5.4%,inRange:94%}},{2005Q3: {aboveRange:0.6%,belowRange:5.6%,inRange:94%}},{2005Q4: {aboveRange:0.7%,belowRange:5.8%,inRange:93%}},{2006Q1: {aboveRange:0.8%,belowRange:5.3%,inRange:94%}},{2006Q2: {aboveRange:0.3%,belowRange:5.0%,inRange:95%}},{2006Q3: {aboveRange:0.6%,belowRange:4.0%,inRange:95%}},{2006Q4: {aboveRange:0.5%,belowRange:3.8%,inRange:96%}},{2007Q1: {aboveRange:0.4%,belowRange:4.4%,inRange:95%}},{2007Q2: {aboveRange:0.3%,belowRange:4.4%,inRange:95%}},{2007Q3: {aboveRange:0.5%,belowRange:4.0%,inRange:96%}},{2007Q4: {aboveRange:0.8%,belowRange:3.3%,inRange:96%}},{2008Q1: {aboveRange:0.8%,belowRange:3.9%,inRange:95%}},{2008Q2: {aboveRange:1.5%,belowRange:3.3%,inRange:95%}},{2008Q3: {aboveRange:0.8%,belowRange:2.1%,inRange:97%}},{2008Q4: {aboveRange:0.4%,belowRange:2.5%,inRange:97%}},{2009Q1: {aboveRange:0.5%,belowRange:2.2%,inRange:97%}},{2009Q2: {aboveRange:0.3%,belowRange:2.1%,inRange:98%}},{2009Q3: {aboveRange:0.6%,belowRange:2.3%,inRange:97%}},{2009Q4: {aboveRange:0.3%,belowRange:1.7%,inRange:98%}},{2010Q1: {aboveRange:0.5%,belowRange:2.4%,inRange:97%}},{2010Q2: {aboveRange:0.4%,belowRange:2.2%,inRange:97%}},{2010Q3: {aboveRange:0.3%,belowRange:2.5%,inRange:97%}},{2010Q4: {aboveRange:0.2%,belowRange:2.2%,inRange:98%}},{2011Q1: {aboveRange:0.2%,belowRange:2.0%,inRange:98%}},{2011Q2: {aboveRange:0.4%,belowRange:2.5%,inRange:97%}},{2011Q3: {aboveRange:0.2%,belowRange:1.7%,inRange:98%}},{2011Q4: {aboveRange:0.2%,belowRange:1.6%,inRange:98%}},{2012Q1: {aboveRange:0.3%,belowRange:1.5%,inRange:98%}},</t>
  </si>
  <si>
    <t>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</t>
  </si>
  <si>
    <t>{2001Q1: {aboveRange:9.0%,belowRange:17%,inRange:74%}},{2001Q2: {aboveRange:8.3%,belowRange:18%,inRange:73%}},{2001Q3: {aboveRange:10%,belowRange:18%,inRange:72%}},{2001Q4: {aboveRange:9.8%,belowRange:17%,inRange:73%}},{2002Q1: {aboveRange:9.1%,belowRange:17%,inRange:74%}},{2002Q2: {aboveRange:9.9%,belowRange:17%,inRange:73%}},{2002Q3: {aboveRange:10%,belowRange:17%,inRange:73%}},{2002Q4: {aboveRange:9.3%,belowRange:16%,inRange:75%}},{2003Q1: {aboveRange:9.1%,belowRange:17%,inRange:74%}},{2003Q2: {aboveRange:10%,belowRange:18%,inRange:72%}},{2003Q3: {aboveRange:9.1%,belowRange:16%,inRange:75%}},{2003Q4: {aboveRange:9.9%,belowRange:15%,inRange:75%}},{2004Q1: {aboveRange:9.5%,belowRange:15%,inRange:75%}},{2004Q2: {aboveRange:11%,belowRange:14%,inRange:75%}},{2004Q3: {aboveRange:11%,belowRange:13%,inRange:76%}},{2004Q4: {aboveRange:12%,belowRange:12%,inRange:76%}},{2005Q1: {aboveRange:12%,belowRange:11%,inRange:77%}},{2005Q2: {aboveRange:13%,belowRange:9.6%,inRange:77%}},{2005Q3: {aboveRange:14%,belowRange:10%,inRange:76%}},{2005Q4: {aboveRange:13%,belowRange:9.8%,inRange:77%}},{2006Q1: {aboveRange:13%,belowRange:9.4%,inRange:78%}},{2006Q2: {aboveRange:13%,belowRange:8.2%,inRange:79%}},{2006Q3: {aboveRange:12%,belowRange:7.4%,inRange:80%}},{2006Q4: {aboveRange:14%,belowRange:7.4%,inRange:79%}},{2007Q1: {aboveRange:14%,belowRange:8.7%,inRange:78%}},{2007Q2: {aboveRange:12%,belowRange:8.1%,inRange:80%}},{2007Q3: {aboveRange:14%,belowRange:7.3%,inRange:79%}},{2007Q4: {aboveRange:13%,belowRange:5.9%,inRange:81%}},{2008Q1: {aboveRange:13%,belowRange:6.2%,inRange:81%}},{2008Q2: {aboveRange:14%,belowRange:5.5%,inRange:80%}},{2008Q3: {aboveRange:15%,belowRange:4.0%,inRange:81%}},{2008Q4: {aboveRange:14%,belowRange:4.2%,inRange:82%}},{2009Q1: {aboveRange:14%,belowRange:3.9%,inRange:82%}},{2009Q2: {aboveRange:14%,belowRange:4.2%,inRange:82%}},{2009Q3: {aboveRange:14%,belowRange:4.1%,inRange:82%}},{2009Q4: {aboveRange:16%,belowRange:3.1%,inRange:81%}},{2010Q1: {aboveRange:15%,belowRange:4.0%,inRange:81%}},{2010Q2: {aboveRange:15%,belowRange:3.8%,inRange:81%}},{2010Q3: {aboveRange:14%,belowRange:3.7%,inRange:83%}},{2010Q4: {aboveRange:13%,belowRange:3.6%,inRange:83%}},{2011Q1: {aboveRange:16%,belowRange:3.6%,inRange:81%}},{2011Q2: {aboveRange:16%,belowRange:4.0%,inRange:80%}},{2011Q3: {aboveRange:15%,belowRange:3.9%,inRange:81%}},{2011Q4: {aboveRange:18%,belowRange:3.5%,inRange:78%}},{2012Q1: {aboveRange:18%,belowRange:3.2%,inRange:79%}},</t>
  </si>
  <si>
    <t>{2001Q1: {aboveRange:33%,belowRange:9.5%,inRange:58%}},{2001Q2: {aboveRange:34%,belowRange:9.5%,inRange:57%}},{2001Q3: {aboveRange:34%,belowRange:9.6%,inRange:57%}},{2001Q4: {aboveRange:34%,belowRange:8.1%,inRange:58%}},{2002Q1: {aboveRange:32%,belowRange:8.8%,inRange:59%}},{2002Q2: {aboveRange:33%,belowRange:8.7%,inRange:59%}},{2002Q3: {aboveRange:31%,belowRange:9.2%,inRange:60%}},{2002Q4: {aboveRange:32%,belowRange:8.4%,inRange:60%}},{2003Q1: {aboveRange:29%,belowRange:9.0%,inRange:61%}},{2003Q2: {aboveRange:31%,belowRange:9.5%,inRange:60%}},{2003Q3: {aboveRange:30%,belowRange:8.9%,inRange:61%}},{2003Q4: {aboveRange:33%,belowRange:7.7%,inRange:59%}},{2004Q1: {aboveRange:31%,belowRange:9.0%,inRange:60%}},{2004Q2: {aboveRange:33%,belowRange:7.5%,inRange:60%}},{2004Q3: {aboveRange:33%,belowRange:7.3%,inRange:60%}},{2004Q4: {aboveRange:36%,belowRange:6.8%,inRange:57%}},{2005Q1: {aboveRange:35%,belowRange:6.2%,inRange:59%}},{2005Q2: {aboveRange:37%,belowRange:5.4%,inRange:58%}},{2005Q3: {aboveRange:40%,belowRange:5.6%,inRange:54%}},{2005Q4: {aboveRange:41%,belowRange:5.8%,inRange:53%}},{2006Q1: {aboveRange:45%,belowRange:5.3%,inRange:49%}},{2006Q2: {aboveRange:52%,belowRange:5.0%,inRange:43%}},{2006Q3: {aboveRange:55%,belowRange:4.0%,inRange:41%}},{2006Q4: {aboveRange:56%,belowRange:3.8%,inRange:40%}},{2007Q1: {aboveRange:57%,belowRange:4.4%,inRange:38%}},{2007Q2: {aboveRange:56%,belowRange:4.4%,inRange:39%}},{2007Q3: {aboveRange:61%,belowRange:4.0%,inRange:35%}},{2007Q4: {aboveRange:62%,belowRange:3.3%,inRange:35%}},{2008Q1: {aboveRange:63%,belowRange:3.9%,inRange:33%}},{2008Q2: {aboveRange:61%,belowRange:3.3%,inRange:35%}},{2008Q3: {aboveRange:63%,belowRange:2.1%,inRange:35%}},{2008Q4: {aboveRange:62%,belowRange:2.5%,inRange:35%}},{2009Q1: {aboveRange:62%,belowRange:2.2%,inRange:36%}},{2009Q2: {aboveRange:64%,belowRange:2.1%,inRange:34%}},{2009Q3: {aboveRange:65%,belowRange:2.3%,inRange:32%}},{2009Q4: {aboveRange:65%,belowRange:1.7%,inRange:33%}},{2010Q1: {aboveRange:65%,belowRange:2.4%,inRange:33%}},{2010Q2: {aboveRange:64%,belowRange:2.2%,inRange:34%}},{2010Q3: {aboveRange:62%,belowRange:2.5%,inRange:36%}},{2010Q4: {aboveRange:61%,belowRange:2.2%,inRange:36%}},{2011Q1: {aboveRange:65%,belowRange:2.0%,inRange:33%}},{2011Q2: {aboveRange:64%,belowRange:2.5%,inRange:33%}},{2011Q3: {aboveRange:65%,belowRange:1.7%,inRange:33%}},{2011Q4: {aboveRange:69%,belowRange:1.6%,inRange:29%}},{2012Q1: {aboveRange:71%,belowRange:1.5%,inRange:28%}},</t>
  </si>
  <si>
    <t>DataAll</t>
  </si>
  <si>
    <t>Data1</t>
  </si>
  <si>
    <t>Data2</t>
  </si>
  <si>
    <t>Data3</t>
  </si>
  <si>
    <t>Data4</t>
  </si>
  <si>
    <t>Data5</t>
  </si>
  <si>
    <t>Data6</t>
  </si>
  <si>
    <t>Data7</t>
  </si>
  <si>
    <t>{2001Q1: {aboveRange:41%,inRange:59%}},{2001Q2: {aboveRange:37%,belowRange:0.4%,inRange:63%}},{2001Q3: {aboveRange:37%,belowRange:0.3%,inRange:63%}},{2001Q4: {aboveRange:42%,inRange:58%}},{2002Q1: {aboveRange:35%,belowRange:1.4%,inRange:64%}},{2002Q2: {aboveRange:37%,inRange:63%}},{2002Q3: {aboveRange:34%,inRange:66%}},{2002Q4: {aboveRange:39%,inRange:61%}},{2003Q1: {aboveRange:39%,inRange:61%}},{2003Q2: {aboveRange:41%,belowRange:0.3%,inRange:59%}},{2003Q3: {aboveRange:41%,inRange:59%}},{2003Q4: {aboveRange:45%,belowRange:0.6%,inRange:55%}},{2004Q1: {aboveRange:34%,belowRange:0.3%,inRange:65%}},{2004Q2: {aboveRange:41%,inRange:59%}},{2004Q3: {aboveRange:39%,inRange:61%}},{2004Q4: {aboveRange:41%,inRange:59%}},{2005Q1: {aboveRange:42%,belowRange:0.6%,inRange:58%}},{2005Q2: {aboveRange:43%,belowRange:0.2%,inRange:57%}},{2005Q3: {aboveRange:40%,inRange:60%}},{2005Q4: {aboveRange:45%,belowRange:0.3%,inRange:55%}},{2006Q1: {aboveRange:47%,belowRange:0.3%,inRange:53%}},{2006Q2: {aboveRange:52%,belowRange:0.3%,inRange:48%}},{2006Q3: {aboveRange:54%,belowRange:0.3%,inRange:46%}},{2006Q4: {aboveRange:56%,belowRange:0.6%,inRange:43%}},{2007Q1: {aboveRange:48%,inRange:52%}},{2007Q2: {aboveRange:46%,belowRange:0.5%,inRange:54%}},{2007Q3: {aboveRange:49%,belowRange:0.6%,inRange:50%}},{2007Q4: {aboveRange:52%,inRange:48%}},{2008Q1: {aboveRange:52%,inRange:48%}},{2008Q2: {aboveRange:54%,inRange:46%}},{2008Q3: {aboveRange:54%,inRange:46%}},{2008Q4: {aboveRange:53%,inRange:47%}},{2009Q1: {aboveRange:51%,inRange:49%}},{2009Q2: {aboveRange:51%,inRange:49%}},{2009Q3: {aboveRange:49%,inRange:51%}},{2009Q4: {aboveRange:49%,inRange:51%}},{2010Q1: {aboveRange:51%,inRange:49%}},{2010Q2: {aboveRange:55%,belowRange:0.3%,inRange:45%}},{2010Q3: {aboveRange:55%,inRange:45%}},{2010Q4: {aboveRange:56%,inRange:44%}},{2011Q1: {aboveRange:56%,inRange:44%}},{2011Q2: {aboveRange:57%,inRange:43%}},{2011Q3: {aboveRange:65%,inRange:35%}},{2011Q4: {aboveRange:68%,belowRange:0.2%,inRange:32%}},{2012Q1: {aboveRange:64%,belowRange:0.2%,inRange:35%}},</t>
  </si>
  <si>
    <t>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</t>
  </si>
  <si>
    <t>{2001Q1: {aboveRange:65%,belowRange:4.0%,inRange:31%}},{2001Q2: {aboveRange:60%,belowRange:6.1%,inRange:33%}},{2001Q3: {aboveRange:60%,belowRange:5.4%,inRange:35%}},{2001Q4: {aboveRange:64%,belowRange:5.8%,inRange:30%}},{2002Q1: {aboveRange:59%,belowRange:8.8%,inRange:32%}},{2002Q2: {aboveRange:64%,belowRange:4.6%,inRange:32%}},{2002Q3: {aboveRange:59%,belowRange:7.5%,inRange:34%}},{2002Q4: {aboveRange:62%,belowRange:5.9%,inRange:32%}},{2003Q1: {aboveRange:59%,belowRange:5.8%,inRange:35%}},{2003Q2: {aboveRange:62%,belowRange:7.1%,inRange:31%}},{2003Q3: {aboveRange:65%,belowRange:3.9%,inRange:32%}},{2003Q4: {aboveRange:74%,belowRange:3.7%,inRange:22%}},{2004Q1: {aboveRange:63%,belowRange:4.7%,inRange:32%}},{2004Q2: {aboveRange:65%,belowRange:6.4%,inRange:28%}},{2004Q3: {aboveRange:64%,belowRange:7.2%,inRange:29%}},{2004Q4: {aboveRange:65%,belowRange:3.2%,inRange:31%}},{2005Q1: {aboveRange:65%,belowRange:5.9%,inRange:30%}},{2005Q2: {aboveRange:69%,belowRange:5.9%,inRange:26%}},{2005Q3: {aboveRange:65%,belowRange:5.5%,inRange:29%}},{2005Q4: {aboveRange:63%,belowRange:6.1%,inRange:31%}},{2006Q1: {aboveRange:69%,belowRange:4.9%,inRange:26%}},{2006Q2: {aboveRange:70%,belowRange:3.9%,inRange:26%}},{2006Q3: {aboveRange:73%,belowRange:5.1%,inRange:21%}},{2006Q4: {aboveRange:72%,belowRange:6.1%,inRange:22%}},{2007Q1: {aboveRange:67%,belowRange:4.8%,inRange:28%}},{2007Q2: {aboveRange:64%,belowRange:6.8%,inRange:29%}},{2007Q3: {aboveRange:65%,belowRange:3.0%,inRange:32%}},{2007Q4: {aboveRange:68%,belowRange:5.7%,inRange:26%}},{2008Q1: {aboveRange:75%,belowRange:4.8%,inRange:20%}},{2008Q2: {aboveRange:74%,belowRange:3.5%,inRange:23%}},{2008Q3: {aboveRange:77%,belowRange:2.8%,inRange:20%}},{2008Q4: {aboveRange:76%,belowRange:2.8%,inRange:21%}},{2009Q1: {aboveRange:73%,belowRange:4.6%,inRange:23%}},{2009Q2: {aboveRange:73%,belowRange:2.8%,inRange:25%}},{2009Q3: {aboveRange:71%,belowRange:2.6%,inRange:27%}},{2009Q4: {aboveRange:72%,belowRange:2.4%,inRange:26%}},{2010Q1: {aboveRange:74%,belowRange:3.2%,inRange:22%}},{2010Q2: {aboveRange:78%,belowRange:2.3%,inRange:20%}},{2010Q3: {aboveRange:78%,belowRange:3.1%,inRange:19%}},{2010Q4: {aboveRange:77%,belowRange:2.9%,inRange:20%}},{2011Q1: {aboveRange:75%,belowRange:3.9%,inRange:21%}},{2011Q2: {aboveRange:78%,belowRange:2.4%,inRange:20%}},{2011Q3: {aboveRange:85%,belowRange:1.4%,inRange:13%}},{2011Q4: {aboveRange:85%,belowRange:2.4%,inRange:13%}},{2012Q1: {aboveRange:84%,belowRange:1.2%,inRange:15%}},</t>
  </si>
  <si>
    <t>{2001Q1: {aboveRange:96%,inRange:4.0%}},{2001Q2: {aboveRange:94%,belowRange:0.4%,inRange:5.8%}},{2001Q3: {aboveRange:95%,belowRange:0.3%,inRange:5.1%}},{2001Q4: {aboveRange:94%,inRange:5.8%}},{2002Q1: {aboveRange:91%,belowRange:1.4%,inRange:7.5%}},{2002Q2: {aboveRange:95%,inRange:4.6%}},{2002Q3: {aboveRange:92%,inRange:7.5%}},{2002Q4: {aboveRange:94%,inRange:5.9%}},{2003Q1: {aboveRange:94%,inRange:5.8%}},{2003Q2: {aboveRange:93%,belowRange:0.3%,inRange:6.8%}},{2003Q3: {aboveRange:96%,inRange:3.9%}},{2003Q4: {aboveRange:96%,belowRange:0.6%,inRange:3.1%}},{2004Q1: {aboveRange:95%,belowRange:0.3%,inRange:4.4%}},{2004Q2: {aboveRange:94%,inRange:6.4%}},{2004Q3: {aboveRange:93%,inRange:7.2%}},{2004Q4: {aboveRange:97%,inRange:3.2%}},{2005Q1: {aboveRange:94%,belowRange:0.6%,inRange:5.3%}},{2005Q2: {aboveRange:94%,belowRange:0.2%,inRange:5.7%}},{2005Q3: {aboveRange:95%,inRange:5.5%}},{2005Q4: {aboveRange:94%,belowRange:0.3%,inRange:5.8%}},{2006Q1: {aboveRange:95%,belowRange:0.3%,inRange:4.7%}},{2006Q2: {aboveRange:96%,belowRange:0.3%,inRange:3.6%}},{2006Q3: {aboveRange:95%,belowRange:0.3%,inRange:4.8%}},{2006Q4: {aboveRange:94%,belowRange:0.6%,inRange:5.5%}},{2007Q1: {aboveRange:95%,inRange:4.8%}},{2007Q2: {aboveRange:93%,belowRange:0.5%,inRange:6.0%}},{2007Q3: {aboveRange:97%,belowRange:0.6%,inRange:2.4%}},{2007Q4: {aboveRange:94%,inRange:5.7%}},{2008Q1: {aboveRange:95%,inRange:4.8%}},{2008Q2: {aboveRange:97%,inRange:3.5%}},{2008Q3: {aboveRange:97%,inRange:2.8%}},{2008Q4: {aboveRange:97%,inRange:2.8%}},{2009Q1: {aboveRange:95%,inRange:4.6%}},{2009Q2: {aboveRange:97%,inRange:2.8%}},{2009Q3: {aboveRange:97%,inRange:2.6%}},{2009Q4: {aboveRange:98%,inRange:2.4%}},{2010Q1: {aboveRange:97%,inRange:3.2%}},{2010Q2: {aboveRange:98%,belowRange:0.3%,inRange:2.0%}},{2010Q3: {aboveRange:97%,inRange:3.1%}},{2010Q4: {aboveRange:97%,inRange:2.9%}},{2011Q1: {aboveRange:96%,inRange:3.9%}},{2011Q2: {aboveRange:98%,inRange:2.4%}},{2011Q3: {aboveRange:99%,inRange:1.4%}},{2011Q4: {aboveRange:98%,belowRange:0.2%,inRange:2.2%}},{2012Q1: {aboveRange:99%,belowRange:0.2%,inRange:1.0%}},</t>
  </si>
  <si>
    <t>#0072c1</t>
  </si>
  <si>
    <t>colour</t>
  </si>
  <si>
    <t>data</t>
  </si>
  <si>
    <t>var JSONData= [{"offenceName": "ABH","colour": "#0072c1","guideline": "Assault: Definitive Guideline (New SC)","page": "12","offencesRanges":[{"top": "3","startingPoint": "1.5","bottom": "1","data":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{aboveRange:0.3%,belowRange:82%,inRange:17%}},]},{"top": "0.980555555555556","startingPoint": "0.5","bottom": "Community Order","data":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{aboveRange:0.3%,belowRange:82%,inRange:17%}},]},{"top": "Community Order","startingPoint": "Community Order","bottom": "Fine","data":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{aboveRange:0.3%,belowRange:82%,inRange:17%}},]}]},{"offenceName": "Assault on PC","colour": "#0072c1","guideline": "Assault: Definitive Guideline (New SC)","page": "21","offencesRanges":[{"top": "0.5","startingPoint": "0.230555555555556","bottom": "Community Order","data": [{2001Q1: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{aboveRange:64%,belowRange:6.3%,inRange:29%}},]},{"top": "Community Order","startingPoint": "Community Order","bottom": "Community Order","data": [{2001Q1: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{aboveRange:64%,belowRange:6.3%,inRange:29%}},]},{"top": "Fine","startingPoint": "Fine","bottom": "Fine","data": [{2001Q1: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{aboveRange:64%,belowRange:6.3%,inRange:29%}},]}]},{"offenceName": "Assault with intent to resist arrest","colour": "#0072c1","guideline": "Assault: Definitive Guideline (New SC)","page": "17","offencesRanges":[{"top": "0.980555555555556","startingPoint": "0.5","bottom": "0.230555555555556","data":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{aboveRange:0.3%,belowRange:82%,inRange:17%}},]},{"top": "Community Order","startingPoint": "Community Order","bottom": "Community Order","data":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{aboveRange:0.3%,belowRange:82%,inRange:17%}},]},{"top": "Fine","startingPoint": "Fine","bottom": "Fine","data":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{aboveRange:0.3%,belowRange:82%,inRange:17%}},]}]},{"offenceName": "GBH with intent","colour": "#0072c1","guideline": "Assault: Definitive Guideline (New SC)","page": "5","offencesRanges":[{"top": "16","startingPoint": "12","bottom": "9","data": [{2001Q1: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{aboveRange:64%,belowRange:6.3%,inRange:29%}},]},{"top": "9","startingPoint": "6","bottom": "5","data": [{2001Q1: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{aboveRange:64%,belowRange:6.3%,inRange:29%}},]},{"top": "5","startingPoint": "4","bottom": "3","data": [{2001Q1: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{aboveRange:64%,belowRange:6.3%,inRange:29%}},]}]},{"offenceName": "Common assault","colour": "#0072c1","guideline": "Assault: Definitive Guideline (New SC)","page": "24","offencesRanges":[{"top": "0.5","startingPoint": "Community Order","bottom": "Community Order","data": [{2001Q1: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</si>
</sst>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0"/>
      <color indexed="8"/>
      <name val="Arial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1" fillId="0" borderId="0" xfId="0" quotePrefix="1" applyNumberFormat="1" applyFont="1"/>
    <xf numFmtId="0" fontId="1" fillId="0" borderId="0" xfId="0" applyNumberFormat="1" applyFont="1"/>
    <xf numFmtId="0" fontId="1" fillId="0" borderId="0" xfId="0" applyFont="1"/>
    <xf numFmtId="0" fontId="0" fillId="0" borderId="0" xfId="0" quotePrefix="1" applyNumberFormat="1"/>
    <xf numFmtId="0" fontId="3" fillId="0" borderId="1" xfId="1" applyFont="1" applyFill="1" applyBorder="1" applyAlignment="1">
      <alignment horizontal="center" vertical="center" wrapText="1"/>
    </xf>
    <xf numFmtId="0" fontId="0" fillId="0" borderId="0" xfId="0" applyNumberFormat="1"/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I14"/>
  <sheetViews>
    <sheetView tabSelected="1" topLeftCell="D1" workbookViewId="0">
      <selection activeCell="AC14" sqref="AC14"/>
    </sheetView>
  </sheetViews>
  <sheetFormatPr defaultRowHeight="15"/>
  <cols>
    <col min="1" max="2" width="9.85546875" customWidth="1"/>
    <col min="3" max="3" width="75.85546875" customWidth="1"/>
    <col min="4" max="4" width="40.140625" customWidth="1"/>
    <col min="15" max="15" width="54.7109375" customWidth="1"/>
    <col min="22" max="22" width="32.140625" customWidth="1"/>
    <col min="29" max="29" width="28.7109375" customWidth="1"/>
  </cols>
  <sheetData>
    <row r="1" spans="1:87">
      <c r="A1" s="1" t="s">
        <v>0</v>
      </c>
      <c r="B1" s="2" t="s">
        <v>1</v>
      </c>
      <c r="C1" s="2" t="s">
        <v>39</v>
      </c>
      <c r="D1" s="2" t="s">
        <v>66</v>
      </c>
      <c r="E1" s="1" t="s">
        <v>2</v>
      </c>
      <c r="F1" s="2" t="s">
        <v>3</v>
      </c>
      <c r="G1" s="2" t="s">
        <v>4</v>
      </c>
      <c r="H1" s="2" t="s">
        <v>5</v>
      </c>
      <c r="I1" s="2" t="s">
        <v>35</v>
      </c>
      <c r="J1" s="2" t="s">
        <v>35</v>
      </c>
      <c r="K1" s="2" t="s">
        <v>36</v>
      </c>
      <c r="L1" s="2" t="s">
        <v>36</v>
      </c>
      <c r="M1" s="2" t="s">
        <v>37</v>
      </c>
      <c r="N1" s="2" t="s">
        <v>37</v>
      </c>
      <c r="O1" s="2" t="s">
        <v>67</v>
      </c>
      <c r="P1" s="2" t="s">
        <v>35</v>
      </c>
      <c r="Q1" s="2" t="s">
        <v>35</v>
      </c>
      <c r="R1" s="2" t="s">
        <v>36</v>
      </c>
      <c r="S1" s="2" t="s">
        <v>36</v>
      </c>
      <c r="T1" s="2" t="s">
        <v>37</v>
      </c>
      <c r="U1" s="2" t="s">
        <v>37</v>
      </c>
      <c r="V1" s="2" t="s">
        <v>67</v>
      </c>
      <c r="W1" s="2" t="s">
        <v>35</v>
      </c>
      <c r="X1" s="2" t="s">
        <v>35</v>
      </c>
      <c r="Y1" s="2" t="s">
        <v>36</v>
      </c>
      <c r="Z1" s="2" t="s">
        <v>36</v>
      </c>
      <c r="AA1" s="2" t="s">
        <v>37</v>
      </c>
      <c r="AB1" s="2" t="s">
        <v>37</v>
      </c>
      <c r="AC1" s="2" t="s">
        <v>67</v>
      </c>
      <c r="AD1" s="2" t="s">
        <v>35</v>
      </c>
      <c r="AE1" s="2" t="s">
        <v>35</v>
      </c>
      <c r="AF1" s="2" t="s">
        <v>36</v>
      </c>
      <c r="AG1" s="2" t="s">
        <v>36</v>
      </c>
      <c r="AH1" s="2" t="s">
        <v>37</v>
      </c>
      <c r="AI1" s="2" t="s">
        <v>37</v>
      </c>
      <c r="AJ1" s="2" t="s">
        <v>67</v>
      </c>
      <c r="AK1" s="2" t="s">
        <v>35</v>
      </c>
      <c r="AL1" s="2" t="s">
        <v>35</v>
      </c>
      <c r="AM1" s="2" t="s">
        <v>36</v>
      </c>
      <c r="AN1" s="2" t="s">
        <v>36</v>
      </c>
      <c r="AO1" s="2" t="s">
        <v>37</v>
      </c>
      <c r="AP1" s="2" t="s">
        <v>37</v>
      </c>
      <c r="AQ1" s="2" t="s">
        <v>67</v>
      </c>
      <c r="AR1" s="2" t="s">
        <v>35</v>
      </c>
      <c r="AS1" s="2" t="s">
        <v>35</v>
      </c>
      <c r="AT1" s="2" t="s">
        <v>36</v>
      </c>
      <c r="AU1" s="2" t="s">
        <v>36</v>
      </c>
      <c r="AV1" s="2" t="s">
        <v>37</v>
      </c>
      <c r="AW1" s="2" t="s">
        <v>37</v>
      </c>
      <c r="AX1" s="2" t="s">
        <v>67</v>
      </c>
      <c r="AY1" s="2" t="s">
        <v>35</v>
      </c>
      <c r="AZ1" s="2" t="s">
        <v>35</v>
      </c>
      <c r="BA1" s="2" t="s">
        <v>36</v>
      </c>
      <c r="BB1" s="2" t="s">
        <v>36</v>
      </c>
      <c r="BC1" s="2" t="s">
        <v>37</v>
      </c>
      <c r="BD1" s="2" t="s">
        <v>37</v>
      </c>
      <c r="BE1" s="2" t="s">
        <v>67</v>
      </c>
      <c r="BF1" s="1" t="s">
        <v>6</v>
      </c>
      <c r="BG1" s="1" t="s">
        <v>7</v>
      </c>
      <c r="BH1" s="1" t="s">
        <v>8</v>
      </c>
      <c r="BI1" s="1" t="s">
        <v>9</v>
      </c>
      <c r="BJ1" s="2" t="s">
        <v>38</v>
      </c>
      <c r="BK1" s="2" t="s">
        <v>38</v>
      </c>
      <c r="BL1" s="2" t="s">
        <v>53</v>
      </c>
      <c r="BM1" s="2" t="s">
        <v>54</v>
      </c>
      <c r="BN1" s="2" t="s">
        <v>55</v>
      </c>
      <c r="BO1" s="2" t="s">
        <v>56</v>
      </c>
      <c r="BP1" s="2" t="s">
        <v>57</v>
      </c>
      <c r="BQ1" s="2" t="s">
        <v>58</v>
      </c>
      <c r="BR1" s="2" t="s">
        <v>59</v>
      </c>
      <c r="BS1" s="2" t="s">
        <v>60</v>
      </c>
      <c r="BT1" s="3" t="s">
        <v>10</v>
      </c>
      <c r="BU1" s="3" t="s">
        <v>10</v>
      </c>
      <c r="BV1" s="3" t="s">
        <v>10</v>
      </c>
      <c r="BW1" s="3" t="s">
        <v>10</v>
      </c>
      <c r="BX1" s="3" t="s">
        <v>10</v>
      </c>
      <c r="BY1" s="3" t="s">
        <v>10</v>
      </c>
      <c r="BZ1" s="3" t="s">
        <v>10</v>
      </c>
      <c r="CA1" s="3" t="s">
        <v>10</v>
      </c>
      <c r="CB1" s="3" t="s">
        <v>10</v>
      </c>
      <c r="CC1" s="3" t="s">
        <v>10</v>
      </c>
      <c r="CD1" s="3" t="s">
        <v>10</v>
      </c>
      <c r="CE1" s="3" t="s">
        <v>10</v>
      </c>
      <c r="CF1" s="3" t="s">
        <v>10</v>
      </c>
      <c r="CG1" s="3" t="s">
        <v>10</v>
      </c>
      <c r="CH1" s="3" t="s">
        <v>10</v>
      </c>
      <c r="CI1" s="3" t="s">
        <v>10</v>
      </c>
    </row>
    <row r="2" spans="1:87">
      <c r="A2" s="4">
        <v>1</v>
      </c>
      <c r="B2" s="6" t="s">
        <v>40</v>
      </c>
      <c r="C2" s="4" t="s">
        <v>11</v>
      </c>
      <c r="D2" s="4" t="s">
        <v>65</v>
      </c>
      <c r="E2" s="4" t="s">
        <v>12</v>
      </c>
      <c r="F2" s="4" t="s">
        <v>13</v>
      </c>
      <c r="G2" s="4" t="s">
        <v>14</v>
      </c>
      <c r="H2" s="4" t="s">
        <v>15</v>
      </c>
      <c r="I2" s="4">
        <v>14</v>
      </c>
      <c r="J2" s="4">
        <v>1080</v>
      </c>
      <c r="K2" s="4">
        <v>14</v>
      </c>
      <c r="L2" s="4">
        <v>540</v>
      </c>
      <c r="M2" s="4">
        <v>14</v>
      </c>
      <c r="N2" s="4">
        <v>360</v>
      </c>
      <c r="O2" s="4" t="str">
        <f>BM2</f>
        <v>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</v>
      </c>
      <c r="P2" s="4">
        <v>14</v>
      </c>
      <c r="Q2" s="4">
        <v>353</v>
      </c>
      <c r="R2" s="4">
        <v>14</v>
      </c>
      <c r="S2" s="4">
        <v>180</v>
      </c>
      <c r="T2" s="4">
        <v>12</v>
      </c>
      <c r="V2" t="str">
        <f>BN2</f>
        <v>{2001Q1: {aboveRange:9.0%,belowRange:17%,inRange:74%}},{2001Q2: {aboveRange:8.3%,belowRange:18%,inRange:73%}},{2001Q3: {aboveRange:10%,belowRange:18%,inRange:72%}},{2001Q4: {aboveRange:9.8%,belowRange:17%,inRange:73%}},{2002Q1: {aboveRange:9.1%,belowRange:17%,inRange:74%}},{2002Q2: {aboveRange:9.9%,belowRange:17%,inRange:73%}},{2002Q3: {aboveRange:10%,belowRange:17%,inRange:73%}},{2002Q4: {aboveRange:9.3%,belowRange:16%,inRange:75%}},{2003Q1: {aboveRange:9.1%,belowRange:17%,inRange:74%}},{2003Q2: {aboveRange:10%,belowRange:18%,inRange:72%}},{2003Q3: {aboveRange:9.1%,belowRange:16%,inRange:75%}},{2003Q4: {aboveRange:9.9%,belowRange:15%,inRange:75%}},{2004Q1: {aboveRange:9.5%,belowRange:15%,inRange:75%}},{2004Q2: {aboveRange:11%,belowRange:14%,inRange:75%}},{2004Q3: {aboveRange:11%,belowRange:13%,inRange:76%}},{2004Q4: {aboveRange:12%,belowRange:12%,inRange:76%}},{2005Q1: {aboveRange:12%,belowRange:11%,inRange:77%}},{2005Q2: {aboveRange:13%,belowRange:9.6%,inRange:77%}},{2005Q3: {aboveRange:14%,belowRange:10%,inRange:76%}},{2005Q4: {aboveRange:13%,belowRange:9.8%,inRange:77%}},{2006Q1: {aboveRange:13%,belowRange:9.4%,inRange:78%}},{2006Q2: {aboveRange:13%,belowRange:8.2%,inRange:79%}},{2006Q3: {aboveRange:12%,belowRange:7.4%,inRange:80%}},{2006Q4: {aboveRange:14%,belowRange:7.4%,inRange:79%}},{2007Q1: {aboveRange:14%,belowRange:8.7%,inRange:78%}},{2007Q2: {aboveRange:12%,belowRange:8.1%,inRange:80%}},{2007Q3: {aboveRange:14%,belowRange:7.3%,inRange:79%}},{2007Q4: {aboveRange:13%,belowRange:5.9%,inRange:81%}},{2008Q1: {aboveRange:13%,belowRange:6.2%,inRange:81%}},{2008Q2: {aboveRange:14%,belowRange:5.5%,inRange:80%}},{2008Q3: {aboveRange:15%,belowRange:4.0%,inRange:81%}},{2008Q4: {aboveRange:14%,belowRange:4.2%,inRange:82%}},{2009Q1: {aboveRange:14%,belowRange:3.9%,inRange:82%}},{2009Q2: {aboveRange:14%,belowRange:4.2%,inRange:82%}},{2009Q3: {aboveRange:14%,belowRange:4.1%,inRange:82%}},{2009Q4: {aboveRange:16%,belowRange:3.1%,inRange:81%}},{2010Q1: {aboveRange:15%,belowRange:4.0%,inRange:81%}},{2010Q2: {aboveRange:15%,belowRange:3.8%,inRange:81%}},{2010Q3: {aboveRange:14%,belowRange:3.7%,inRange:83%}},{2010Q4: {aboveRange:13%,belowRange:3.6%,inRange:83%}},{2011Q1: {aboveRange:16%,belowRange:3.6%,inRange:81%}},{2011Q2: {aboveRange:16%,belowRange:4.0%,inRange:80%}},{2011Q3: {aboveRange:15%,belowRange:3.9%,inRange:81%}},{2011Q4: {aboveRange:18%,belowRange:3.5%,inRange:78%}},{2012Q1: {aboveRange:18%,belowRange:3.2%,inRange:79%}},</v>
      </c>
      <c r="W2" s="4">
        <v>12</v>
      </c>
      <c r="Y2" s="4">
        <v>12</v>
      </c>
      <c r="AA2" s="4">
        <v>11</v>
      </c>
      <c r="AC2" t="str">
        <f>BO2</f>
        <v>{2001Q1: {aboveRange:33%,belowRange:9.5%,inRange:58%}},{2001Q2: {aboveRange:34%,belowRange:9.5%,inRange:57%}},{2001Q3: {aboveRange:34%,belowRange:9.6%,inRange:57%}},{2001Q4: {aboveRange:34%,belowRange:8.1%,inRange:58%}},{2002Q1: {aboveRange:32%,belowRange:8.8%,inRange:59%}},{2002Q2: {aboveRange:33%,belowRange:8.7%,inRange:59%}},{2002Q3: {aboveRange:31%,belowRange:9.2%,inRange:60%}},{2002Q4: {aboveRange:32%,belowRange:8.4%,inRange:60%}},{2003Q1: {aboveRange:29%,belowRange:9.0%,inRange:61%}},{2003Q2: {aboveRange:31%,belowRange:9.5%,inRange:60%}},{2003Q3: {aboveRange:30%,belowRange:8.9%,inRange:61%}},{2003Q4: {aboveRange:33%,belowRange:7.7%,inRange:59%}},{2004Q1: {aboveRange:31%,belowRange:9.0%,inRange:60%}},{2004Q2: {aboveRange:33%,belowRange:7.5%,inRange:60%}},{2004Q3: {aboveRange:33%,belowRange:7.3%,inRange:60%}},{2004Q4: {aboveRange:36%,belowRange:6.8%,inRange:57%}},{2005Q1: {aboveRange:35%,belowRange:6.2%,inRange:59%}},{2005Q2: {aboveRange:37%,belowRange:5.4%,inRange:58%}},{2005Q3: {aboveRange:40%,belowRange:5.6%,inRange:54%}},{2005Q4: {aboveRange:41%,belowRange:5.8%,inRange:53%}},{2006Q1: {aboveRange:45%,belowRange:5.3%,inRange:49%}},{2006Q2: {aboveRange:52%,belowRange:5.0%,inRange:43%}},{2006Q3: {aboveRange:55%,belowRange:4.0%,inRange:41%}},{2006Q4: {aboveRange:56%,belowRange:3.8%,inRange:40%}},{2007Q1: {aboveRange:57%,belowRange:4.4%,inRange:38%}},{2007Q2: {aboveRange:56%,belowRange:4.4%,inRange:39%}},{2007Q3: {aboveRange:61%,belowRange:4.0%,inRange:35%}},{2007Q4: {aboveRange:62%,belowRange:3.3%,inRange:35%}},{2008Q1: {aboveRange:63%,belowRange:3.9%,inRange:33%}},{2008Q2: {aboveRange:61%,belowRange:3.3%,inRange:35%}},{2008Q3: {aboveRange:63%,belowRange:2.1%,inRange:35%}},{2008Q4: {aboveRange:62%,belowRange:2.5%,inRange:35%}},{2009Q1: {aboveRange:62%,belowRange:2.2%,inRange:36%}},{2009Q2: {aboveRange:64%,belowRange:2.1%,inRange:34%}},{2009Q3: {aboveRange:65%,belowRange:2.3%,inRange:32%}},{2009Q4: {aboveRange:65%,belowRange:1.7%,inRange:33%}},{2010Q1: {aboveRange:65%,belowRange:2.4%,inRange:33%}},{2010Q2: {aboveRange:64%,belowRange:2.2%,inRange:34%}},{2010Q3: {aboveRange:62%,belowRange:2.5%,inRange:36%}},{2010Q4: {aboveRange:61%,belowRange:2.2%,inRange:36%}},{2011Q1: {aboveRange:65%,belowRange:2.0%,inRange:33%}},{2011Q2: {aboveRange:64%,belowRange:2.5%,inRange:33%}},{2011Q3: {aboveRange:65%,belowRange:1.7%,inRange:33%}},{2011Q4: {aboveRange:69%,belowRange:1.6%,inRange:29%}},{2012Q1: {aboveRange:71%,belowRange:1.5%,inRange:28%}},</v>
      </c>
      <c r="BF2" s="4">
        <v>11</v>
      </c>
      <c r="BH2" s="4">
        <v>14</v>
      </c>
      <c r="BI2" s="4">
        <v>1080</v>
      </c>
      <c r="BJ2" s="4">
        <v>14</v>
      </c>
      <c r="BK2" s="4">
        <v>2520</v>
      </c>
      <c r="BL2" t="s">
        <v>49</v>
      </c>
      <c r="BM2" t="s">
        <v>50</v>
      </c>
      <c r="BN2" t="s">
        <v>51</v>
      </c>
      <c r="BO2" t="s">
        <v>52</v>
      </c>
      <c r="BP2" s="4"/>
      <c r="BQ2" s="4"/>
      <c r="BR2" s="4"/>
      <c r="BS2" s="4"/>
      <c r="BT2" s="5">
        <v>806</v>
      </c>
    </row>
    <row r="3" spans="1:87">
      <c r="A3" s="4">
        <v>1</v>
      </c>
      <c r="B3" s="6" t="s">
        <v>41</v>
      </c>
      <c r="C3" s="4" t="s">
        <v>16</v>
      </c>
      <c r="D3" s="4" t="s">
        <v>65</v>
      </c>
      <c r="E3" s="4" t="s">
        <v>12</v>
      </c>
      <c r="F3" s="4" t="s">
        <v>13</v>
      </c>
      <c r="G3" s="4" t="s">
        <v>17</v>
      </c>
      <c r="H3" s="4" t="s">
        <v>18</v>
      </c>
      <c r="I3" s="4">
        <v>14</v>
      </c>
      <c r="J3" s="4">
        <v>180</v>
      </c>
      <c r="K3" s="4">
        <v>14</v>
      </c>
      <c r="L3" s="4">
        <v>83</v>
      </c>
      <c r="M3" s="4">
        <v>12</v>
      </c>
      <c r="N3" s="4"/>
      <c r="O3" s="4" t="str">
        <f t="shared" ref="O3:O10" si="0">BM3</f>
        <v>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</v>
      </c>
      <c r="P3" s="4">
        <v>12</v>
      </c>
      <c r="Q3" s="4"/>
      <c r="R3" s="4">
        <v>12</v>
      </c>
      <c r="S3" s="4"/>
      <c r="T3" s="4">
        <v>12</v>
      </c>
      <c r="V3" t="str">
        <f t="shared" ref="V3:V10" si="1">BN3</f>
        <v>{2001Q1: {aboveRange:65%,belowRange:4.0%,inRange:31%}},{2001Q2: {aboveRange:60%,belowRange:6.1%,inRange:33%}},{2001Q3: {aboveRange:60%,belowRange:5.4%,inRange:35%}},{2001Q4: {aboveRange:64%,belowRange:5.8%,inRange:30%}},{2002Q1: {aboveRange:59%,belowRange:8.8%,inRange:32%}},{2002Q2: {aboveRange:64%,belowRange:4.6%,inRange:32%}},{2002Q3: {aboveRange:59%,belowRange:7.5%,inRange:34%}},{2002Q4: {aboveRange:62%,belowRange:5.9%,inRange:32%}},{2003Q1: {aboveRange:59%,belowRange:5.8%,inRange:35%}},{2003Q2: {aboveRange:62%,belowRange:7.1%,inRange:31%}},{2003Q3: {aboveRange:65%,belowRange:3.9%,inRange:32%}},{2003Q4: {aboveRange:74%,belowRange:3.7%,inRange:22%}},{2004Q1: {aboveRange:63%,belowRange:4.7%,inRange:32%}},{2004Q2: {aboveRange:65%,belowRange:6.4%,inRange:28%}},{2004Q3: {aboveRange:64%,belowRange:7.2%,inRange:29%}},{2004Q4: {aboveRange:65%,belowRange:3.2%,inRange:31%}},{2005Q1: {aboveRange:65%,belowRange:5.9%,inRange:30%}},{2005Q2: {aboveRange:69%,belowRange:5.9%,inRange:26%}},{2005Q3: {aboveRange:65%,belowRange:5.5%,inRange:29%}},{2005Q4: {aboveRange:63%,belowRange:6.1%,inRange:31%}},{2006Q1: {aboveRange:69%,belowRange:4.9%,inRange:26%}},{2006Q2: {aboveRange:70%,belowRange:3.9%,inRange:26%}},{2006Q3: {aboveRange:73%,belowRange:5.1%,inRange:21%}},{2006Q4: {aboveRange:72%,belowRange:6.1%,inRange:22%}},{2007Q1: {aboveRange:67%,belowRange:4.8%,inRange:28%}},{2007Q2: {aboveRange:64%,belowRange:6.8%,inRange:29%}},{2007Q3: {aboveRange:65%,belowRange:3.0%,inRange:32%}},{2007Q4: {aboveRange:68%,belowRange:5.7%,inRange:26%}},{2008Q1: {aboveRange:75%,belowRange:4.8%,inRange:20%}},{2008Q2: {aboveRange:74%,belowRange:3.5%,inRange:23%}},{2008Q3: {aboveRange:77%,belowRange:2.8%,inRange:20%}},{2008Q4: {aboveRange:76%,belowRange:2.8%,inRange:21%}},{2009Q1: {aboveRange:73%,belowRange:4.6%,inRange:23%}},{2009Q2: {aboveRange:73%,belowRange:2.8%,inRange:25%}},{2009Q3: {aboveRange:71%,belowRange:2.6%,inRange:27%}},{2009Q4: {aboveRange:72%,belowRange:2.4%,inRange:26%}},{2010Q1: {aboveRange:74%,belowRange:3.2%,inRange:22%}},{2010Q2: {aboveRange:78%,belowRange:2.3%,inRange:20%}},{2010Q3: {aboveRange:78%,belowRange:3.1%,inRange:19%}},{2010Q4: {aboveRange:77%,belowRange:2.9%,inRange:20%}},{2011Q1: {aboveRange:75%,belowRange:3.9%,inRange:21%}},{2011Q2: {aboveRange:78%,belowRange:2.4%,inRange:20%}},{2011Q3: {aboveRange:85%,belowRange:1.4%,inRange:13%}},{2011Q4: {aboveRange:85%,belowRange:2.4%,inRange:13%}},{2012Q1: {aboveRange:84%,belowRange:1.2%,inRange:15%}},</v>
      </c>
      <c r="W3" s="4">
        <v>11</v>
      </c>
      <c r="Y3" s="4">
        <v>11</v>
      </c>
      <c r="AA3" s="4">
        <v>11</v>
      </c>
      <c r="AC3" t="str">
        <f t="shared" ref="AC3:AC10" si="2">BO3</f>
        <v>{2001Q1: {aboveRange:96%,inRange:4.0%}},{2001Q2: {aboveRange:94%,belowRange:0.4%,inRange:5.8%}},{2001Q3: {aboveRange:95%,belowRange:0.3%,inRange:5.1%}},{2001Q4: {aboveRange:94%,inRange:5.8%}},{2002Q1: {aboveRange:91%,belowRange:1.4%,inRange:7.5%}},{2002Q2: {aboveRange:95%,inRange:4.6%}},{2002Q3: {aboveRange:92%,inRange:7.5%}},{2002Q4: {aboveRange:94%,inRange:5.9%}},{2003Q1: {aboveRange:94%,inRange:5.8%}},{2003Q2: {aboveRange:93%,belowRange:0.3%,inRange:6.8%}},{2003Q3: {aboveRange:96%,inRange:3.9%}},{2003Q4: {aboveRange:96%,belowRange:0.6%,inRange:3.1%}},{2004Q1: {aboveRange:95%,belowRange:0.3%,inRange:4.4%}},{2004Q2: {aboveRange:94%,inRange:6.4%}},{2004Q3: {aboveRange:93%,inRange:7.2%}},{2004Q4: {aboveRange:97%,inRange:3.2%}},{2005Q1: {aboveRange:94%,belowRange:0.6%,inRange:5.3%}},{2005Q2: {aboveRange:94%,belowRange:0.2%,inRange:5.7%}},{2005Q3: {aboveRange:95%,inRange:5.5%}},{2005Q4: {aboveRange:94%,belowRange:0.3%,inRange:5.8%}},{2006Q1: {aboveRange:95%,belowRange:0.3%,inRange:4.7%}},{2006Q2: {aboveRange:96%,belowRange:0.3%,inRange:3.6%}},{2006Q3: {aboveRange:95%,belowRange:0.3%,inRange:4.8%}},{2006Q4: {aboveRange:94%,belowRange:0.6%,inRange:5.5%}},{2007Q1: {aboveRange:95%,inRange:4.8%}},{2007Q2: {aboveRange:93%,belowRange:0.5%,inRange:6.0%}},{2007Q3: {aboveRange:97%,belowRange:0.6%,inRange:2.4%}},{2007Q4: {aboveRange:94%,inRange:5.7%}},{2008Q1: {aboveRange:95%,inRange:4.8%}},{2008Q2: {aboveRange:97%,inRange:3.5%}},{2008Q3: {aboveRange:97%,inRange:2.8%}},{2008Q4: {aboveRange:97%,inRange:2.8%}},{2009Q1: {aboveRange:95%,inRange:4.6%}},{2009Q2: {aboveRange:97%,inRange:2.8%}},{2009Q3: {aboveRange:97%,inRange:2.6%}},{2009Q4: {aboveRange:98%,inRange:2.4%}},{2010Q1: {aboveRange:97%,inRange:3.2%}},{2010Q2: {aboveRange:98%,belowRange:0.3%,inRange:2.0%}},{2010Q3: {aboveRange:97%,inRange:3.1%}},{2010Q4: {aboveRange:97%,inRange:2.9%}},{2011Q1: {aboveRange:96%,inRange:3.9%}},{2011Q2: {aboveRange:98%,inRange:2.4%}},{2011Q3: {aboveRange:99%,inRange:1.4%}},{2011Q4: {aboveRange:98%,belowRange:0.2%,inRange:2.2%}},{2012Q1: {aboveRange:99%,belowRange:0.2%,inRange:1.0%}},</v>
      </c>
      <c r="BF3" s="4">
        <v>11</v>
      </c>
      <c r="BH3" s="4">
        <v>14</v>
      </c>
      <c r="BI3" s="4">
        <v>180</v>
      </c>
      <c r="BJ3" s="4">
        <v>14</v>
      </c>
      <c r="BK3" s="4">
        <v>180</v>
      </c>
      <c r="BL3" t="s">
        <v>61</v>
      </c>
      <c r="BM3" t="s">
        <v>62</v>
      </c>
      <c r="BN3" t="s">
        <v>63</v>
      </c>
      <c r="BO3" t="s">
        <v>64</v>
      </c>
      <c r="BP3" s="4"/>
      <c r="BQ3" s="4"/>
      <c r="BR3" s="4"/>
      <c r="BS3" s="4"/>
      <c r="BT3" s="5">
        <v>10423</v>
      </c>
    </row>
    <row r="4" spans="1:87">
      <c r="A4" s="4">
        <v>1</v>
      </c>
      <c r="B4" s="6" t="s">
        <v>42</v>
      </c>
      <c r="C4" s="4" t="s">
        <v>19</v>
      </c>
      <c r="D4" s="4" t="s">
        <v>65</v>
      </c>
      <c r="E4" s="4" t="s">
        <v>12</v>
      </c>
      <c r="F4" s="4" t="s">
        <v>13</v>
      </c>
      <c r="G4" s="4" t="s">
        <v>20</v>
      </c>
      <c r="H4" s="4" t="s">
        <v>21</v>
      </c>
      <c r="I4" s="4">
        <v>14</v>
      </c>
      <c r="J4" s="4">
        <v>353</v>
      </c>
      <c r="K4" s="4">
        <v>14</v>
      </c>
      <c r="L4" s="4">
        <v>180</v>
      </c>
      <c r="M4" s="4">
        <v>14</v>
      </c>
      <c r="N4" s="4">
        <v>83</v>
      </c>
      <c r="O4" s="4" t="str">
        <f t="shared" si="0"/>
        <v>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</v>
      </c>
      <c r="P4" s="4">
        <v>12</v>
      </c>
      <c r="Q4" s="4"/>
      <c r="R4" s="4">
        <v>12</v>
      </c>
      <c r="S4" s="4"/>
      <c r="T4" s="4">
        <v>12</v>
      </c>
      <c r="V4" t="str">
        <f t="shared" si="1"/>
        <v>{2001Q1: {aboveRange:9.0%,belowRange:17%,inRange:74%}},{2001Q2: {aboveRange:8.3%,belowRange:18%,inRange:73%}},{2001Q3: {aboveRange:10%,belowRange:18%,inRange:72%}},{2001Q4: {aboveRange:9.8%,belowRange:17%,inRange:73%}},{2002Q1: {aboveRange:9.1%,belowRange:17%,inRange:74%}},{2002Q2: {aboveRange:9.9%,belowRange:17%,inRange:73%}},{2002Q3: {aboveRange:10%,belowRange:17%,inRange:73%}},{2002Q4: {aboveRange:9.3%,belowRange:16%,inRange:75%}},{2003Q1: {aboveRange:9.1%,belowRange:17%,inRange:74%}},{2003Q2: {aboveRange:10%,belowRange:18%,inRange:72%}},{2003Q3: {aboveRange:9.1%,belowRange:16%,inRange:75%}},{2003Q4: {aboveRange:9.9%,belowRange:15%,inRange:75%}},{2004Q1: {aboveRange:9.5%,belowRange:15%,inRange:75%}},{2004Q2: {aboveRange:11%,belowRange:14%,inRange:75%}},{2004Q3: {aboveRange:11%,belowRange:13%,inRange:76%}},{2004Q4: {aboveRange:12%,belowRange:12%,inRange:76%}},{2005Q1: {aboveRange:12%,belowRange:11%,inRange:77%}},{2005Q2: {aboveRange:13%,belowRange:9.6%,inRange:77%}},{2005Q3: {aboveRange:14%,belowRange:10%,inRange:76%}},{2005Q4: {aboveRange:13%,belowRange:9.8%,inRange:77%}},{2006Q1: {aboveRange:13%,belowRange:9.4%,inRange:78%}},{2006Q2: {aboveRange:13%,belowRange:8.2%,inRange:79%}},{2006Q3: {aboveRange:12%,belowRange:7.4%,inRange:80%}},{2006Q4: {aboveRange:14%,belowRange:7.4%,inRange:79%}},{2007Q1: {aboveRange:14%,belowRange:8.7%,inRange:78%}},{2007Q2: {aboveRange:12%,belowRange:8.1%,inRange:80%}},{2007Q3: {aboveRange:14%,belowRange:7.3%,inRange:79%}},{2007Q4: {aboveRange:13%,belowRange:5.9%,inRange:81%}},{2008Q1: {aboveRange:13%,belowRange:6.2%,inRange:81%}},{2008Q2: {aboveRange:14%,belowRange:5.5%,inRange:80%}},{2008Q3: {aboveRange:15%,belowRange:4.0%,inRange:81%}},{2008Q4: {aboveRange:14%,belowRange:4.2%,inRange:82%}},{2009Q1: {aboveRange:14%,belowRange:3.9%,inRange:82%}},{2009Q2: {aboveRange:14%,belowRange:4.2%,inRange:82%}},{2009Q3: {aboveRange:14%,belowRange:4.1%,inRange:82%}},{2009Q4: {aboveRange:16%,belowRange:3.1%,inRange:81%}},{2010Q1: {aboveRange:15%,belowRange:4.0%,inRange:81%}},{2010Q2: {aboveRange:15%,belowRange:3.8%,inRange:81%}},{2010Q3: {aboveRange:14%,belowRange:3.7%,inRange:83%}},{2010Q4: {aboveRange:13%,belowRange:3.6%,inRange:83%}},{2011Q1: {aboveRange:16%,belowRange:3.6%,inRange:81%}},{2011Q2: {aboveRange:16%,belowRange:4.0%,inRange:80%}},{2011Q3: {aboveRange:15%,belowRange:3.9%,inRange:81%}},{2011Q4: {aboveRange:18%,belowRange:3.5%,inRange:78%}},{2012Q1: {aboveRange:18%,belowRange:3.2%,inRange:79%}},</v>
      </c>
      <c r="W4" s="4">
        <v>11</v>
      </c>
      <c r="Y4" s="4">
        <v>11</v>
      </c>
      <c r="AA4" s="4">
        <v>11</v>
      </c>
      <c r="AC4" t="str">
        <f t="shared" si="2"/>
        <v>{2001Q1: {aboveRange:33%,belowRange:9.5%,inRange:58%}},{2001Q2: {aboveRange:34%,belowRange:9.5%,inRange:57%}},{2001Q3: {aboveRange:34%,belowRange:9.6%,inRange:57%}},{2001Q4: {aboveRange:34%,belowRange:8.1%,inRange:58%}},{2002Q1: {aboveRange:32%,belowRange:8.8%,inRange:59%}},{2002Q2: {aboveRange:33%,belowRange:8.7%,inRange:59%}},{2002Q3: {aboveRange:31%,belowRange:9.2%,inRange:60%}},{2002Q4: {aboveRange:32%,belowRange:8.4%,inRange:60%}},{2003Q1: {aboveRange:29%,belowRange:9.0%,inRange:61%}},{2003Q2: {aboveRange:31%,belowRange:9.5%,inRange:60%}},{2003Q3: {aboveRange:30%,belowRange:8.9%,inRange:61%}},{2003Q4: {aboveRange:33%,belowRange:7.7%,inRange:59%}},{2004Q1: {aboveRange:31%,belowRange:9.0%,inRange:60%}},{2004Q2: {aboveRange:33%,belowRange:7.5%,inRange:60%}},{2004Q3: {aboveRange:33%,belowRange:7.3%,inRange:60%}},{2004Q4: {aboveRange:36%,belowRange:6.8%,inRange:57%}},{2005Q1: {aboveRange:35%,belowRange:6.2%,inRange:59%}},{2005Q2: {aboveRange:37%,belowRange:5.4%,inRange:58%}},{2005Q3: {aboveRange:40%,belowRange:5.6%,inRange:54%}},{2005Q4: {aboveRange:41%,belowRange:5.8%,inRange:53%}},{2006Q1: {aboveRange:45%,belowRange:5.3%,inRange:49%}},{2006Q2: {aboveRange:52%,belowRange:5.0%,inRange:43%}},{2006Q3: {aboveRange:55%,belowRange:4.0%,inRange:41%}},{2006Q4: {aboveRange:56%,belowRange:3.8%,inRange:40%}},{2007Q1: {aboveRange:57%,belowRange:4.4%,inRange:38%}},{2007Q2: {aboveRange:56%,belowRange:4.4%,inRange:39%}},{2007Q3: {aboveRange:61%,belowRange:4.0%,inRange:35%}},{2007Q4: {aboveRange:62%,belowRange:3.3%,inRange:35%}},{2008Q1: {aboveRange:63%,belowRange:3.9%,inRange:33%}},{2008Q2: {aboveRange:61%,belowRange:3.3%,inRange:35%}},{2008Q3: {aboveRange:63%,belowRange:2.1%,inRange:35%}},{2008Q4: {aboveRange:62%,belowRange:2.5%,inRange:35%}},{2009Q1: {aboveRange:62%,belowRange:2.2%,inRange:36%}},{2009Q2: {aboveRange:64%,belowRange:2.1%,inRange:34%}},{2009Q3: {aboveRange:65%,belowRange:2.3%,inRange:32%}},{2009Q4: {aboveRange:65%,belowRange:1.7%,inRange:33%}},{2010Q1: {aboveRange:65%,belowRange:2.4%,inRange:33%}},{2010Q2: {aboveRange:64%,belowRange:2.2%,inRange:34%}},{2010Q3: {aboveRange:62%,belowRange:2.5%,inRange:36%}},{2010Q4: {aboveRange:61%,belowRange:2.2%,inRange:36%}},{2011Q1: {aboveRange:65%,belowRange:2.0%,inRange:33%}},{2011Q2: {aboveRange:64%,belowRange:2.5%,inRange:33%}},{2011Q3: {aboveRange:65%,belowRange:1.7%,inRange:33%}},{2011Q4: {aboveRange:69%,belowRange:1.6%,inRange:29%}},{2012Q1: {aboveRange:71%,belowRange:1.5%,inRange:28%}},</v>
      </c>
      <c r="BF4" s="4">
        <v>11</v>
      </c>
      <c r="BH4" s="4">
        <v>14</v>
      </c>
      <c r="BI4" s="4">
        <v>353</v>
      </c>
      <c r="BJ4" s="4">
        <v>14</v>
      </c>
      <c r="BK4" s="4">
        <v>720</v>
      </c>
      <c r="BL4" t="s">
        <v>49</v>
      </c>
      <c r="BM4" t="s">
        <v>50</v>
      </c>
      <c r="BN4" t="s">
        <v>51</v>
      </c>
      <c r="BO4" t="s">
        <v>52</v>
      </c>
      <c r="BP4" s="4"/>
      <c r="BQ4" s="4"/>
      <c r="BR4" s="4"/>
      <c r="BS4" s="4"/>
      <c r="BT4" s="5">
        <v>820</v>
      </c>
    </row>
    <row r="5" spans="1:87">
      <c r="A5" s="4">
        <v>1</v>
      </c>
      <c r="B5" s="6" t="s">
        <v>43</v>
      </c>
      <c r="C5" s="4" t="s">
        <v>22</v>
      </c>
      <c r="D5" s="4" t="s">
        <v>65</v>
      </c>
      <c r="E5" s="4" t="s">
        <v>12</v>
      </c>
      <c r="F5" s="4" t="s">
        <v>13</v>
      </c>
      <c r="G5" s="4" t="s">
        <v>23</v>
      </c>
      <c r="H5" s="4" t="s">
        <v>24</v>
      </c>
      <c r="I5" s="4">
        <v>14</v>
      </c>
      <c r="J5" s="4">
        <v>5760</v>
      </c>
      <c r="K5" s="4">
        <v>14</v>
      </c>
      <c r="L5" s="4">
        <v>4320</v>
      </c>
      <c r="M5" s="4">
        <v>14</v>
      </c>
      <c r="N5" s="4">
        <v>3240</v>
      </c>
      <c r="O5" s="4" t="str">
        <f t="shared" si="0"/>
        <v>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</v>
      </c>
      <c r="P5" s="4">
        <v>14</v>
      </c>
      <c r="Q5" s="4">
        <v>3240</v>
      </c>
      <c r="R5" s="4">
        <v>14</v>
      </c>
      <c r="S5" s="4">
        <v>2160</v>
      </c>
      <c r="T5" s="4">
        <v>14</v>
      </c>
      <c r="U5">
        <v>1800</v>
      </c>
      <c r="V5" t="str">
        <f t="shared" si="1"/>
        <v>{2001Q1: {aboveRange:65%,belowRange:4.0%,inRange:31%}},{2001Q2: {aboveRange:60%,belowRange:6.1%,inRange:33%}},{2001Q3: {aboveRange:60%,belowRange:5.4%,inRange:35%}},{2001Q4: {aboveRange:64%,belowRange:5.8%,inRange:30%}},{2002Q1: {aboveRange:59%,belowRange:8.8%,inRange:32%}},{2002Q2: {aboveRange:64%,belowRange:4.6%,inRange:32%}},{2002Q3: {aboveRange:59%,belowRange:7.5%,inRange:34%}},{2002Q4: {aboveRange:62%,belowRange:5.9%,inRange:32%}},{2003Q1: {aboveRange:59%,belowRange:5.8%,inRange:35%}},{2003Q2: {aboveRange:62%,belowRange:7.1%,inRange:31%}},{2003Q3: {aboveRange:65%,belowRange:3.9%,inRange:32%}},{2003Q4: {aboveRange:74%,belowRange:3.7%,inRange:22%}},{2004Q1: {aboveRange:63%,belowRange:4.7%,inRange:32%}},{2004Q2: {aboveRange:65%,belowRange:6.4%,inRange:28%}},{2004Q3: {aboveRange:64%,belowRange:7.2%,inRange:29%}},{2004Q4: {aboveRange:65%,belowRange:3.2%,inRange:31%}},{2005Q1: {aboveRange:65%,belowRange:5.9%,inRange:30%}},{2005Q2: {aboveRange:69%,belowRange:5.9%,inRange:26%}},{2005Q3: {aboveRange:65%,belowRange:5.5%,inRange:29%}},{2005Q4: {aboveRange:63%,belowRange:6.1%,inRange:31%}},{2006Q1: {aboveRange:69%,belowRange:4.9%,inRange:26%}},{2006Q2: {aboveRange:70%,belowRange:3.9%,inRange:26%}},{2006Q3: {aboveRange:73%,belowRange:5.1%,inRange:21%}},{2006Q4: {aboveRange:72%,belowRange:6.1%,inRange:22%}},{2007Q1: {aboveRange:67%,belowRange:4.8%,inRange:28%}},{2007Q2: {aboveRange:64%,belowRange:6.8%,inRange:29%}},{2007Q3: {aboveRange:65%,belowRange:3.0%,inRange:32%}},{2007Q4: {aboveRange:68%,belowRange:5.7%,inRange:26%}},{2008Q1: {aboveRange:75%,belowRange:4.8%,inRange:20%}},{2008Q2: {aboveRange:74%,belowRange:3.5%,inRange:23%}},{2008Q3: {aboveRange:77%,belowRange:2.8%,inRange:20%}},{2008Q4: {aboveRange:76%,belowRange:2.8%,inRange:21%}},{2009Q1: {aboveRange:73%,belowRange:4.6%,inRange:23%}},{2009Q2: {aboveRange:73%,belowRange:2.8%,inRange:25%}},{2009Q3: {aboveRange:71%,belowRange:2.6%,inRange:27%}},{2009Q4: {aboveRange:72%,belowRange:2.4%,inRange:26%}},{2010Q1: {aboveRange:74%,belowRange:3.2%,inRange:22%}},{2010Q2: {aboveRange:78%,belowRange:2.3%,inRange:20%}},{2010Q3: {aboveRange:78%,belowRange:3.1%,inRange:19%}},{2010Q4: {aboveRange:77%,belowRange:2.9%,inRange:20%}},{2011Q1: {aboveRange:75%,belowRange:3.9%,inRange:21%}},{2011Q2: {aboveRange:78%,belowRange:2.4%,inRange:20%}},{2011Q3: {aboveRange:85%,belowRange:1.4%,inRange:13%}},{2011Q4: {aboveRange:85%,belowRange:2.4%,inRange:13%}},{2012Q1: {aboveRange:84%,belowRange:1.2%,inRange:15%}},</v>
      </c>
      <c r="W5" s="4">
        <v>14</v>
      </c>
      <c r="X5">
        <v>1800</v>
      </c>
      <c r="Y5" s="4">
        <v>14</v>
      </c>
      <c r="Z5">
        <v>1440</v>
      </c>
      <c r="AA5" s="4">
        <v>14</v>
      </c>
      <c r="AB5">
        <v>1080</v>
      </c>
      <c r="AC5" t="str">
        <f t="shared" si="2"/>
        <v>{2001Q1: {aboveRange:96%,inRange:4.0%}},{2001Q2: {aboveRange:94%,belowRange:0.4%,inRange:5.8%}},{2001Q3: {aboveRange:95%,belowRange:0.3%,inRange:5.1%}},{2001Q4: {aboveRange:94%,inRange:5.8%}},{2002Q1: {aboveRange:91%,belowRange:1.4%,inRange:7.5%}},{2002Q2: {aboveRange:95%,inRange:4.6%}},{2002Q3: {aboveRange:92%,inRange:7.5%}},{2002Q4: {aboveRange:94%,inRange:5.9%}},{2003Q1: {aboveRange:94%,inRange:5.8%}},{2003Q2: {aboveRange:93%,belowRange:0.3%,inRange:6.8%}},{2003Q3: {aboveRange:96%,inRange:3.9%}},{2003Q4: {aboveRange:96%,belowRange:0.6%,inRange:3.1%}},{2004Q1: {aboveRange:95%,belowRange:0.3%,inRange:4.4%}},{2004Q2: {aboveRange:94%,inRange:6.4%}},{2004Q3: {aboveRange:93%,inRange:7.2%}},{2004Q4: {aboveRange:97%,inRange:3.2%}},{2005Q1: {aboveRange:94%,belowRange:0.6%,inRange:5.3%}},{2005Q2: {aboveRange:94%,belowRange:0.2%,inRange:5.7%}},{2005Q3: {aboveRange:95%,inRange:5.5%}},{2005Q4: {aboveRange:94%,belowRange:0.3%,inRange:5.8%}},{2006Q1: {aboveRange:95%,belowRange:0.3%,inRange:4.7%}},{2006Q2: {aboveRange:96%,belowRange:0.3%,inRange:3.6%}},{2006Q3: {aboveRange:95%,belowRange:0.3%,inRange:4.8%}},{2006Q4: {aboveRange:94%,belowRange:0.6%,inRange:5.5%}},{2007Q1: {aboveRange:95%,inRange:4.8%}},{2007Q2: {aboveRange:93%,belowRange:0.5%,inRange:6.0%}},{2007Q3: {aboveRange:97%,belowRange:0.6%,inRange:2.4%}},{2007Q4: {aboveRange:94%,inRange:5.7%}},{2008Q1: {aboveRange:95%,inRange:4.8%}},{2008Q2: {aboveRange:97%,inRange:3.5%}},{2008Q3: {aboveRange:97%,inRange:2.8%}},{2008Q4: {aboveRange:97%,inRange:2.8%}},{2009Q1: {aboveRange:95%,inRange:4.6%}},{2009Q2: {aboveRange:97%,inRange:2.8%}},{2009Q3: {aboveRange:97%,inRange:2.6%}},{2009Q4: {aboveRange:98%,inRange:2.4%}},{2010Q1: {aboveRange:97%,inRange:3.2%}},{2010Q2: {aboveRange:98%,belowRange:0.3%,inRange:2.0%}},{2010Q3: {aboveRange:97%,inRange:3.1%}},{2010Q4: {aboveRange:97%,inRange:2.9%}},{2011Q1: {aboveRange:96%,inRange:3.9%}},{2011Q2: {aboveRange:98%,inRange:2.4%}},{2011Q3: {aboveRange:99%,inRange:1.4%}},{2011Q4: {aboveRange:98%,belowRange:0.2%,inRange:2.2%}},{2012Q1: {aboveRange:99%,belowRange:0.2%,inRange:1.0%}},</v>
      </c>
      <c r="BF5" s="4">
        <v>14</v>
      </c>
      <c r="BG5">
        <v>1080</v>
      </c>
      <c r="BH5" s="4">
        <v>14</v>
      </c>
      <c r="BI5" s="4">
        <v>5760</v>
      </c>
      <c r="BJ5" s="4">
        <v>14</v>
      </c>
      <c r="BK5" s="4">
        <v>35640</v>
      </c>
      <c r="BL5" t="s">
        <v>61</v>
      </c>
      <c r="BM5" t="s">
        <v>62</v>
      </c>
      <c r="BN5" t="s">
        <v>63</v>
      </c>
      <c r="BO5" t="s">
        <v>64</v>
      </c>
      <c r="BP5" s="4"/>
      <c r="BQ5" s="4"/>
      <c r="BR5" s="4"/>
      <c r="BS5" s="4"/>
      <c r="BT5" s="5">
        <v>501</v>
      </c>
    </row>
    <row r="6" spans="1:87">
      <c r="A6" s="4">
        <v>1</v>
      </c>
      <c r="B6" s="6" t="s">
        <v>44</v>
      </c>
      <c r="C6" s="4" t="s">
        <v>25</v>
      </c>
      <c r="D6" s="4" t="s">
        <v>65</v>
      </c>
      <c r="E6" s="4" t="s">
        <v>12</v>
      </c>
      <c r="F6" s="4" t="s">
        <v>13</v>
      </c>
      <c r="G6" s="4" t="s">
        <v>26</v>
      </c>
      <c r="H6" s="4" t="s">
        <v>27</v>
      </c>
      <c r="I6" s="4">
        <v>14</v>
      </c>
      <c r="J6" s="4">
        <v>180</v>
      </c>
      <c r="K6" s="4">
        <v>12</v>
      </c>
      <c r="L6" s="4"/>
      <c r="M6" s="4">
        <v>12</v>
      </c>
      <c r="N6" s="4"/>
      <c r="O6" s="4" t="str">
        <f t="shared" si="0"/>
        <v>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</v>
      </c>
      <c r="P6" s="4">
        <v>12</v>
      </c>
      <c r="Q6" s="4"/>
      <c r="R6" s="4">
        <v>12</v>
      </c>
      <c r="S6" s="4"/>
      <c r="T6" s="4">
        <v>11</v>
      </c>
      <c r="V6" t="str">
        <f t="shared" si="1"/>
        <v>{2001Q1: {aboveRange:9.0%,belowRange:17%,inRange:74%}},{2001Q2: {aboveRange:8.3%,belowRange:18%,inRange:73%}},{2001Q3: {aboveRange:10%,belowRange:18%,inRange:72%}},{2001Q4: {aboveRange:9.8%,belowRange:17%,inRange:73%}},{2002Q1: {aboveRange:9.1%,belowRange:17%,inRange:74%}},{2002Q2: {aboveRange:9.9%,belowRange:17%,inRange:73%}},{2002Q3: {aboveRange:10%,belowRange:17%,inRange:73%}},{2002Q4: {aboveRange:9.3%,belowRange:16%,inRange:75%}},{2003Q1: {aboveRange:9.1%,belowRange:17%,inRange:74%}},{2003Q2: {aboveRange:10%,belowRange:18%,inRange:72%}},{2003Q3: {aboveRange:9.1%,belowRange:16%,inRange:75%}},{2003Q4: {aboveRange:9.9%,belowRange:15%,inRange:75%}},{2004Q1: {aboveRange:9.5%,belowRange:15%,inRange:75%}},{2004Q2: {aboveRange:11%,belowRange:14%,inRange:75%}},{2004Q3: {aboveRange:11%,belowRange:13%,inRange:76%}},{2004Q4: {aboveRange:12%,belowRange:12%,inRange:76%}},{2005Q1: {aboveRange:12%,belowRange:11%,inRange:77%}},{2005Q2: {aboveRange:13%,belowRange:9.6%,inRange:77%}},{2005Q3: {aboveRange:14%,belowRange:10%,inRange:76%}},{2005Q4: {aboveRange:13%,belowRange:9.8%,inRange:77%}},{2006Q1: {aboveRange:13%,belowRange:9.4%,inRange:78%}},{2006Q2: {aboveRange:13%,belowRange:8.2%,inRange:79%}},{2006Q3: {aboveRange:12%,belowRange:7.4%,inRange:80%}},{2006Q4: {aboveRange:14%,belowRange:7.4%,inRange:79%}},{2007Q1: {aboveRange:14%,belowRange:8.7%,inRange:78%}},{2007Q2: {aboveRange:12%,belowRange:8.1%,inRange:80%}},{2007Q3: {aboveRange:14%,belowRange:7.3%,inRange:79%}},{2007Q4: {aboveRange:13%,belowRange:5.9%,inRange:81%}},{2008Q1: {aboveRange:13%,belowRange:6.2%,inRange:81%}},{2008Q2: {aboveRange:14%,belowRange:5.5%,inRange:80%}},{2008Q3: {aboveRange:15%,belowRange:4.0%,inRange:81%}},{2008Q4: {aboveRange:14%,belowRange:4.2%,inRange:82%}},{2009Q1: {aboveRange:14%,belowRange:3.9%,inRange:82%}},{2009Q2: {aboveRange:14%,belowRange:4.2%,inRange:82%}},{2009Q3: {aboveRange:14%,belowRange:4.1%,inRange:82%}},{2009Q4: {aboveRange:16%,belowRange:3.1%,inRange:81%}},{2010Q1: {aboveRange:15%,belowRange:4.0%,inRange:81%}},{2010Q2: {aboveRange:15%,belowRange:3.8%,inRange:81%}},{2010Q3: {aboveRange:14%,belowRange:3.7%,inRange:83%}},{2010Q4: {aboveRange:13%,belowRange:3.6%,inRange:83%}},{2011Q1: {aboveRange:16%,belowRange:3.6%,inRange:81%}},{2011Q2: {aboveRange:16%,belowRange:4.0%,inRange:80%}},{2011Q3: {aboveRange:15%,belowRange:3.9%,inRange:81%}},{2011Q4: {aboveRange:18%,belowRange:3.5%,inRange:78%}},{2012Q1: {aboveRange:18%,belowRange:3.2%,inRange:79%}},</v>
      </c>
      <c r="W6" s="4">
        <v>11</v>
      </c>
      <c r="Y6" s="4">
        <v>11</v>
      </c>
      <c r="AA6" s="4">
        <v>9</v>
      </c>
      <c r="AC6" t="str">
        <f t="shared" si="2"/>
        <v>{2001Q1: {aboveRange:33%,belowRange:9.5%,inRange:58%}},{2001Q2: {aboveRange:34%,belowRange:9.5%,inRange:57%}},{2001Q3: {aboveRange:34%,belowRange:9.6%,inRange:57%}},{2001Q4: {aboveRange:34%,belowRange:8.1%,inRange:58%}},{2002Q1: {aboveRange:32%,belowRange:8.8%,inRange:59%}},{2002Q2: {aboveRange:33%,belowRange:8.7%,inRange:59%}},{2002Q3: {aboveRange:31%,belowRange:9.2%,inRange:60%}},{2002Q4: {aboveRange:32%,belowRange:8.4%,inRange:60%}},{2003Q1: {aboveRange:29%,belowRange:9.0%,inRange:61%}},{2003Q2: {aboveRange:31%,belowRange:9.5%,inRange:60%}},{2003Q3: {aboveRange:30%,belowRange:8.9%,inRange:61%}},{2003Q4: {aboveRange:33%,belowRange:7.7%,inRange:59%}},{2004Q1: {aboveRange:31%,belowRange:9.0%,inRange:60%}},{2004Q2: {aboveRange:33%,belowRange:7.5%,inRange:60%}},{2004Q3: {aboveRange:33%,belowRange:7.3%,inRange:60%}},{2004Q4: {aboveRange:36%,belowRange:6.8%,inRange:57%}},{2005Q1: {aboveRange:35%,belowRange:6.2%,inRange:59%}},{2005Q2: {aboveRange:37%,belowRange:5.4%,inRange:58%}},{2005Q3: {aboveRange:40%,belowRange:5.6%,inRange:54%}},{2005Q4: {aboveRange:41%,belowRange:5.8%,inRange:53%}},{2006Q1: {aboveRange:45%,belowRange:5.3%,inRange:49%}},{2006Q2: {aboveRange:52%,belowRange:5.0%,inRange:43%}},{2006Q3: {aboveRange:55%,belowRange:4.0%,inRange:41%}},{2006Q4: {aboveRange:56%,belowRange:3.8%,inRange:40%}},{2007Q1: {aboveRange:57%,belowRange:4.4%,inRange:38%}},{2007Q2: {aboveRange:56%,belowRange:4.4%,inRange:39%}},{2007Q3: {aboveRange:61%,belowRange:4.0%,inRange:35%}},{2007Q4: {aboveRange:62%,belowRange:3.3%,inRange:35%}},{2008Q1: {aboveRange:63%,belowRange:3.9%,inRange:33%}},{2008Q2: {aboveRange:61%,belowRange:3.3%,inRange:35%}},{2008Q3: {aboveRange:63%,belowRange:2.1%,inRange:35%}},{2008Q4: {aboveRange:62%,belowRange:2.5%,inRange:35%}},{2009Q1: {aboveRange:62%,belowRange:2.2%,inRange:36%}},{2009Q2: {aboveRange:64%,belowRange:2.1%,inRange:34%}},{2009Q3: {aboveRange:65%,belowRange:2.3%,inRange:32%}},{2009Q4: {aboveRange:65%,belowRange:1.7%,inRange:33%}},{2010Q1: {aboveRange:65%,belowRange:2.4%,inRange:33%}},{2010Q2: {aboveRange:64%,belowRange:2.2%,inRange:34%}},{2010Q3: {aboveRange:62%,belowRange:2.5%,inRange:36%}},{2010Q4: {aboveRange:61%,belowRange:2.2%,inRange:36%}},{2011Q1: {aboveRange:65%,belowRange:2.0%,inRange:33%}},{2011Q2: {aboveRange:64%,belowRange:2.5%,inRange:33%}},{2011Q3: {aboveRange:65%,belowRange:1.7%,inRange:33%}},{2011Q4: {aboveRange:69%,belowRange:1.6%,inRange:29%}},{2012Q1: {aboveRange:71%,belowRange:1.5%,inRange:28%}},</v>
      </c>
      <c r="BF6" s="4">
        <v>9</v>
      </c>
      <c r="BH6" s="4">
        <v>14</v>
      </c>
      <c r="BI6" s="4">
        <v>180</v>
      </c>
      <c r="BJ6" s="4">
        <v>14</v>
      </c>
      <c r="BK6" s="4">
        <v>720</v>
      </c>
      <c r="BL6" t="s">
        <v>49</v>
      </c>
      <c r="BM6" t="s">
        <v>50</v>
      </c>
      <c r="BN6" t="s">
        <v>51</v>
      </c>
      <c r="BO6" t="s">
        <v>52</v>
      </c>
      <c r="BP6" s="4"/>
      <c r="BQ6" s="4"/>
      <c r="BR6" s="4"/>
      <c r="BS6" s="4"/>
      <c r="BT6" s="5">
        <v>10501</v>
      </c>
    </row>
    <row r="7" spans="1:87">
      <c r="A7" s="4">
        <v>1</v>
      </c>
      <c r="B7" s="6" t="s">
        <v>45</v>
      </c>
      <c r="C7" s="4" t="s">
        <v>28</v>
      </c>
      <c r="D7" s="4" t="s">
        <v>65</v>
      </c>
      <c r="E7" s="4" t="s">
        <v>12</v>
      </c>
      <c r="F7" s="4" t="s">
        <v>13</v>
      </c>
      <c r="G7" s="4" t="s">
        <v>29</v>
      </c>
      <c r="H7" s="4" t="s">
        <v>30</v>
      </c>
      <c r="I7" s="4">
        <v>14</v>
      </c>
      <c r="J7" s="4">
        <v>1440</v>
      </c>
      <c r="K7" s="4">
        <v>14</v>
      </c>
      <c r="L7" s="4">
        <v>1080</v>
      </c>
      <c r="M7" s="4">
        <v>14</v>
      </c>
      <c r="N7" s="4">
        <v>900</v>
      </c>
      <c r="O7" s="4" t="str">
        <f t="shared" si="0"/>
        <v>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</v>
      </c>
      <c r="P7" s="4">
        <v>14</v>
      </c>
      <c r="Q7" s="4">
        <v>1080</v>
      </c>
      <c r="R7" s="4">
        <v>14</v>
      </c>
      <c r="S7" s="4">
        <v>540</v>
      </c>
      <c r="T7" s="4">
        <v>14</v>
      </c>
      <c r="U7">
        <v>360</v>
      </c>
      <c r="V7" t="str">
        <f t="shared" si="1"/>
        <v>{2001Q1: {aboveRange:65%,belowRange:4.0%,inRange:31%}},{2001Q2: {aboveRange:60%,belowRange:6.1%,inRange:33%}},{2001Q3: {aboveRange:60%,belowRange:5.4%,inRange:35%}},{2001Q4: {aboveRange:64%,belowRange:5.8%,inRange:30%}},{2002Q1: {aboveRange:59%,belowRange:8.8%,inRange:32%}},{2002Q2: {aboveRange:64%,belowRange:4.6%,inRange:32%}},{2002Q3: {aboveRange:59%,belowRange:7.5%,inRange:34%}},{2002Q4: {aboveRange:62%,belowRange:5.9%,inRange:32%}},{2003Q1: {aboveRange:59%,belowRange:5.8%,inRange:35%}},{2003Q2: {aboveRange:62%,belowRange:7.1%,inRange:31%}},{2003Q3: {aboveRange:65%,belowRange:3.9%,inRange:32%}},{2003Q4: {aboveRange:74%,belowRange:3.7%,inRange:22%}},{2004Q1: {aboveRange:63%,belowRange:4.7%,inRange:32%}},{2004Q2: {aboveRange:65%,belowRange:6.4%,inRange:28%}},{2004Q3: {aboveRange:64%,belowRange:7.2%,inRange:29%}},{2004Q4: {aboveRange:65%,belowRange:3.2%,inRange:31%}},{2005Q1: {aboveRange:65%,belowRange:5.9%,inRange:30%}},{2005Q2: {aboveRange:69%,belowRange:5.9%,inRange:26%}},{2005Q3: {aboveRange:65%,belowRange:5.5%,inRange:29%}},{2005Q4: {aboveRange:63%,belowRange:6.1%,inRange:31%}},{2006Q1: {aboveRange:69%,belowRange:4.9%,inRange:26%}},{2006Q2: {aboveRange:70%,belowRange:3.9%,inRange:26%}},{2006Q3: {aboveRange:73%,belowRange:5.1%,inRange:21%}},{2006Q4: {aboveRange:72%,belowRange:6.1%,inRange:22%}},{2007Q1: {aboveRange:67%,belowRange:4.8%,inRange:28%}},{2007Q2: {aboveRange:64%,belowRange:6.8%,inRange:29%}},{2007Q3: {aboveRange:65%,belowRange:3.0%,inRange:32%}},{2007Q4: {aboveRange:68%,belowRange:5.7%,inRange:26%}},{2008Q1: {aboveRange:75%,belowRange:4.8%,inRange:20%}},{2008Q2: {aboveRange:74%,belowRange:3.5%,inRange:23%}},{2008Q3: {aboveRange:77%,belowRange:2.8%,inRange:20%}},{2008Q4: {aboveRange:76%,belowRange:2.8%,inRange:21%}},{2009Q1: {aboveRange:73%,belowRange:4.6%,inRange:23%}},{2009Q2: {aboveRange:73%,belowRange:2.8%,inRange:25%}},{2009Q3: {aboveRange:71%,belowRange:2.6%,inRange:27%}},{2009Q4: {aboveRange:72%,belowRange:2.4%,inRange:26%}},{2010Q1: {aboveRange:74%,belowRange:3.2%,inRange:22%}},{2010Q2: {aboveRange:78%,belowRange:2.3%,inRange:20%}},{2010Q3: {aboveRange:78%,belowRange:3.1%,inRange:19%}},{2010Q4: {aboveRange:77%,belowRange:2.9%,inRange:20%}},{2011Q1: {aboveRange:75%,belowRange:3.9%,inRange:21%}},{2011Q2: {aboveRange:78%,belowRange:2.4%,inRange:20%}},{2011Q3: {aboveRange:85%,belowRange:1.4%,inRange:13%}},{2011Q4: {aboveRange:85%,belowRange:2.4%,inRange:13%}},{2012Q1: {aboveRange:84%,belowRange:1.2%,inRange:15%}},</v>
      </c>
      <c r="W7" s="4">
        <v>14</v>
      </c>
      <c r="X7">
        <v>353</v>
      </c>
      <c r="Y7" s="4">
        <v>12</v>
      </c>
      <c r="AA7" s="4">
        <v>12</v>
      </c>
      <c r="AC7" t="str">
        <f t="shared" si="2"/>
        <v>{2001Q1: {aboveRange:96%,inRange:4.0%}},{2001Q2: {aboveRange:94%,belowRange:0.4%,inRange:5.8%}},{2001Q3: {aboveRange:95%,belowRange:0.3%,inRange:5.1%}},{2001Q4: {aboveRange:94%,inRange:5.8%}},{2002Q1: {aboveRange:91%,belowRange:1.4%,inRange:7.5%}},{2002Q2: {aboveRange:95%,inRange:4.6%}},{2002Q3: {aboveRange:92%,inRange:7.5%}},{2002Q4: {aboveRange:94%,inRange:5.9%}},{2003Q1: {aboveRange:94%,inRange:5.8%}},{2003Q2: {aboveRange:93%,belowRange:0.3%,inRange:6.8%}},{2003Q3: {aboveRange:96%,inRange:3.9%}},{2003Q4: {aboveRange:96%,belowRange:0.6%,inRange:3.1%}},{2004Q1: {aboveRange:95%,belowRange:0.3%,inRange:4.4%}},{2004Q2: {aboveRange:94%,inRange:6.4%}},{2004Q3: {aboveRange:93%,inRange:7.2%}},{2004Q4: {aboveRange:97%,inRange:3.2%}},{2005Q1: {aboveRange:94%,belowRange:0.6%,inRange:5.3%}},{2005Q2: {aboveRange:94%,belowRange:0.2%,inRange:5.7%}},{2005Q3: {aboveRange:95%,inRange:5.5%}},{2005Q4: {aboveRange:94%,belowRange:0.3%,inRange:5.8%}},{2006Q1: {aboveRange:95%,belowRange:0.3%,inRange:4.7%}},{2006Q2: {aboveRange:96%,belowRange:0.3%,inRange:3.6%}},{2006Q3: {aboveRange:95%,belowRange:0.3%,inRange:4.8%}},{2006Q4: {aboveRange:94%,belowRange:0.6%,inRange:5.5%}},{2007Q1: {aboveRange:95%,inRange:4.8%}},{2007Q2: {aboveRange:93%,belowRange:0.5%,inRange:6.0%}},{2007Q3: {aboveRange:97%,belowRange:0.6%,inRange:2.4%}},{2007Q4: {aboveRange:94%,inRange:5.7%}},{2008Q1: {aboveRange:95%,inRange:4.8%}},{2008Q2: {aboveRange:97%,inRange:3.5%}},{2008Q3: {aboveRange:97%,inRange:2.8%}},{2008Q4: {aboveRange:97%,inRange:2.8%}},{2009Q1: {aboveRange:95%,inRange:4.6%}},{2009Q2: {aboveRange:97%,inRange:2.8%}},{2009Q3: {aboveRange:97%,inRange:2.6%}},{2009Q4: {aboveRange:98%,inRange:2.4%}},{2010Q1: {aboveRange:97%,inRange:3.2%}},{2010Q2: {aboveRange:98%,belowRange:0.3%,inRange:2.0%}},{2010Q3: {aboveRange:97%,inRange:3.1%}},{2010Q4: {aboveRange:97%,inRange:2.9%}},{2011Q1: {aboveRange:96%,inRange:3.9%}},{2011Q2: {aboveRange:98%,inRange:2.4%}},{2011Q3: {aboveRange:99%,inRange:1.4%}},{2011Q4: {aboveRange:98%,belowRange:0.2%,inRange:2.2%}},{2012Q1: {aboveRange:99%,belowRange:0.2%,inRange:1.0%}},</v>
      </c>
      <c r="BF7" s="4">
        <v>12</v>
      </c>
      <c r="BH7" s="4">
        <v>14</v>
      </c>
      <c r="BI7" s="4">
        <v>1440</v>
      </c>
      <c r="BJ7" s="4">
        <v>14</v>
      </c>
      <c r="BK7" s="4">
        <v>2520</v>
      </c>
      <c r="BL7" t="s">
        <v>61</v>
      </c>
      <c r="BM7" t="s">
        <v>62</v>
      </c>
      <c r="BN7" t="s">
        <v>63</v>
      </c>
      <c r="BO7" t="s">
        <v>64</v>
      </c>
      <c r="BP7" s="4"/>
      <c r="BQ7" s="4"/>
      <c r="BR7" s="4"/>
      <c r="BS7" s="4"/>
      <c r="BT7" s="5">
        <v>801</v>
      </c>
      <c r="BU7">
        <v>501</v>
      </c>
    </row>
    <row r="8" spans="1:87">
      <c r="A8" s="4">
        <v>1</v>
      </c>
      <c r="B8" s="6" t="s">
        <v>46</v>
      </c>
      <c r="C8" s="4" t="s">
        <v>31</v>
      </c>
      <c r="D8" s="4" t="s">
        <v>65</v>
      </c>
      <c r="E8" s="4" t="s">
        <v>12</v>
      </c>
      <c r="F8" s="4" t="s">
        <v>13</v>
      </c>
      <c r="G8" s="4" t="s">
        <v>32</v>
      </c>
      <c r="H8" s="4" t="s">
        <v>15</v>
      </c>
      <c r="I8" s="4">
        <v>14</v>
      </c>
      <c r="J8" s="4">
        <v>1080</v>
      </c>
      <c r="K8" s="4">
        <v>14</v>
      </c>
      <c r="L8" s="4">
        <v>540</v>
      </c>
      <c r="M8" s="4">
        <v>14</v>
      </c>
      <c r="N8" s="4">
        <v>360</v>
      </c>
      <c r="O8" s="4" t="str">
        <f t="shared" si="0"/>
        <v>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</v>
      </c>
      <c r="P8" s="4">
        <v>14</v>
      </c>
      <c r="Q8" s="4">
        <v>353</v>
      </c>
      <c r="R8" s="4">
        <v>14</v>
      </c>
      <c r="S8" s="4">
        <v>180</v>
      </c>
      <c r="T8" s="4">
        <v>12</v>
      </c>
      <c r="V8" t="str">
        <f t="shared" si="1"/>
        <v>{2001Q1: {aboveRange:9.0%,belowRange:17%,inRange:74%}},{2001Q2: {aboveRange:8.3%,belowRange:18%,inRange:73%}},{2001Q3: {aboveRange:10%,belowRange:18%,inRange:72%}},{2001Q4: {aboveRange:9.8%,belowRange:17%,inRange:73%}},{2002Q1: {aboveRange:9.1%,belowRange:17%,inRange:74%}},{2002Q2: {aboveRange:9.9%,belowRange:17%,inRange:73%}},{2002Q3: {aboveRange:10%,belowRange:17%,inRange:73%}},{2002Q4: {aboveRange:9.3%,belowRange:16%,inRange:75%}},{2003Q1: {aboveRange:9.1%,belowRange:17%,inRange:74%}},{2003Q2: {aboveRange:10%,belowRange:18%,inRange:72%}},{2003Q3: {aboveRange:9.1%,belowRange:16%,inRange:75%}},{2003Q4: {aboveRange:9.9%,belowRange:15%,inRange:75%}},{2004Q1: {aboveRange:9.5%,belowRange:15%,inRange:75%}},{2004Q2: {aboveRange:11%,belowRange:14%,inRange:75%}},{2004Q3: {aboveRange:11%,belowRange:13%,inRange:76%}},{2004Q4: {aboveRange:12%,belowRange:12%,inRange:76%}},{2005Q1: {aboveRange:12%,belowRange:11%,inRange:77%}},{2005Q2: {aboveRange:13%,belowRange:9.6%,inRange:77%}},{2005Q3: {aboveRange:14%,belowRange:10%,inRange:76%}},{2005Q4: {aboveRange:13%,belowRange:9.8%,inRange:77%}},{2006Q1: {aboveRange:13%,belowRange:9.4%,inRange:78%}},{2006Q2: {aboveRange:13%,belowRange:8.2%,inRange:79%}},{2006Q3: {aboveRange:12%,belowRange:7.4%,inRange:80%}},{2006Q4: {aboveRange:14%,belowRange:7.4%,inRange:79%}},{2007Q1: {aboveRange:14%,belowRange:8.7%,inRange:78%}},{2007Q2: {aboveRange:12%,belowRange:8.1%,inRange:80%}},{2007Q3: {aboveRange:14%,belowRange:7.3%,inRange:79%}},{2007Q4: {aboveRange:13%,belowRange:5.9%,inRange:81%}},{2008Q1: {aboveRange:13%,belowRange:6.2%,inRange:81%}},{2008Q2: {aboveRange:14%,belowRange:5.5%,inRange:80%}},{2008Q3: {aboveRange:15%,belowRange:4.0%,inRange:81%}},{2008Q4: {aboveRange:14%,belowRange:4.2%,inRange:82%}},{2009Q1: {aboveRange:14%,belowRange:3.9%,inRange:82%}},{2009Q2: {aboveRange:14%,belowRange:4.2%,inRange:82%}},{2009Q3: {aboveRange:14%,belowRange:4.1%,inRange:82%}},{2009Q4: {aboveRange:16%,belowRange:3.1%,inRange:81%}},{2010Q1: {aboveRange:15%,belowRange:4.0%,inRange:81%}},{2010Q2: {aboveRange:15%,belowRange:3.8%,inRange:81%}},{2010Q3: {aboveRange:14%,belowRange:3.7%,inRange:83%}},{2010Q4: {aboveRange:13%,belowRange:3.6%,inRange:83%}},{2011Q1: {aboveRange:16%,belowRange:3.6%,inRange:81%}},{2011Q2: {aboveRange:16%,belowRange:4.0%,inRange:80%}},{2011Q3: {aboveRange:15%,belowRange:3.9%,inRange:81%}},{2011Q4: {aboveRange:18%,belowRange:3.5%,inRange:78%}},{2012Q1: {aboveRange:18%,belowRange:3.2%,inRange:79%}},</v>
      </c>
      <c r="W8" s="4">
        <v>12</v>
      </c>
      <c r="Y8" s="4">
        <v>12</v>
      </c>
      <c r="AA8" s="4">
        <v>11</v>
      </c>
      <c r="AC8" t="str">
        <f t="shared" si="2"/>
        <v>{2001Q1: {aboveRange:33%,belowRange:9.5%,inRange:58%}},{2001Q2: {aboveRange:34%,belowRange:9.5%,inRange:57%}},{2001Q3: {aboveRange:34%,belowRange:9.6%,inRange:57%}},{2001Q4: {aboveRange:34%,belowRange:8.1%,inRange:58%}},{2002Q1: {aboveRange:32%,belowRange:8.8%,inRange:59%}},{2002Q2: {aboveRange:33%,belowRange:8.7%,inRange:59%}},{2002Q3: {aboveRange:31%,belowRange:9.2%,inRange:60%}},{2002Q4: {aboveRange:32%,belowRange:8.4%,inRange:60%}},{2003Q1: {aboveRange:29%,belowRange:9.0%,inRange:61%}},{2003Q2: {aboveRange:31%,belowRange:9.5%,inRange:60%}},{2003Q3: {aboveRange:30%,belowRange:8.9%,inRange:61%}},{2003Q4: {aboveRange:33%,belowRange:7.7%,inRange:59%}},{2004Q1: {aboveRange:31%,belowRange:9.0%,inRange:60%}},{2004Q2: {aboveRange:33%,belowRange:7.5%,inRange:60%}},{2004Q3: {aboveRange:33%,belowRange:7.3%,inRange:60%}},{2004Q4: {aboveRange:36%,belowRange:6.8%,inRange:57%}},{2005Q1: {aboveRange:35%,belowRange:6.2%,inRange:59%}},{2005Q2: {aboveRange:37%,belowRange:5.4%,inRange:58%}},{2005Q3: {aboveRange:40%,belowRange:5.6%,inRange:54%}},{2005Q4: {aboveRange:41%,belowRange:5.8%,inRange:53%}},{2006Q1: {aboveRange:45%,belowRange:5.3%,inRange:49%}},{2006Q2: {aboveRange:52%,belowRange:5.0%,inRange:43%}},{2006Q3: {aboveRange:55%,belowRange:4.0%,inRange:41%}},{2006Q4: {aboveRange:56%,belowRange:3.8%,inRange:40%}},{2007Q1: {aboveRange:57%,belowRange:4.4%,inRange:38%}},{2007Q2: {aboveRange:56%,belowRange:4.4%,inRange:39%}},{2007Q3: {aboveRange:61%,belowRange:4.0%,inRange:35%}},{2007Q4: {aboveRange:62%,belowRange:3.3%,inRange:35%}},{2008Q1: {aboveRange:63%,belowRange:3.9%,inRange:33%}},{2008Q2: {aboveRange:61%,belowRange:3.3%,inRange:35%}},{2008Q3: {aboveRange:63%,belowRange:2.1%,inRange:35%}},{2008Q4: {aboveRange:62%,belowRange:2.5%,inRange:35%}},{2009Q1: {aboveRange:62%,belowRange:2.2%,inRange:36%}},{2009Q2: {aboveRange:64%,belowRange:2.1%,inRange:34%}},{2009Q3: {aboveRange:65%,belowRange:2.3%,inRange:32%}},{2009Q4: {aboveRange:65%,belowRange:1.7%,inRange:33%}},{2010Q1: {aboveRange:65%,belowRange:2.4%,inRange:33%}},{2010Q2: {aboveRange:64%,belowRange:2.2%,inRange:34%}},{2010Q3: {aboveRange:62%,belowRange:2.5%,inRange:36%}},{2010Q4: {aboveRange:61%,belowRange:2.2%,inRange:36%}},{2011Q1: {aboveRange:65%,belowRange:2.0%,inRange:33%}},{2011Q2: {aboveRange:64%,belowRange:2.5%,inRange:33%}},{2011Q3: {aboveRange:65%,belowRange:1.7%,inRange:33%}},{2011Q4: {aboveRange:69%,belowRange:1.6%,inRange:29%}},{2012Q1: {aboveRange:71%,belowRange:1.5%,inRange:28%}},</v>
      </c>
      <c r="BF8" s="4">
        <v>11</v>
      </c>
      <c r="BH8" s="4">
        <v>14</v>
      </c>
      <c r="BI8" s="4">
        <v>1080</v>
      </c>
      <c r="BJ8" s="4">
        <v>14</v>
      </c>
      <c r="BK8" s="4">
        <v>2520</v>
      </c>
      <c r="BL8" t="s">
        <v>49</v>
      </c>
      <c r="BM8" t="s">
        <v>50</v>
      </c>
      <c r="BN8" t="s">
        <v>51</v>
      </c>
      <c r="BO8" t="s">
        <v>52</v>
      </c>
      <c r="BP8" s="4"/>
      <c r="BQ8" s="4"/>
      <c r="BR8" s="4"/>
      <c r="BS8" s="4"/>
      <c r="BT8" s="5">
        <v>860</v>
      </c>
    </row>
    <row r="9" spans="1:87">
      <c r="A9" s="4">
        <v>1</v>
      </c>
      <c r="B9" s="6" t="s">
        <v>47</v>
      </c>
      <c r="C9" s="4" t="s">
        <v>33</v>
      </c>
      <c r="D9" s="4" t="s">
        <v>65</v>
      </c>
      <c r="E9" s="4" t="s">
        <v>12</v>
      </c>
      <c r="F9" s="4" t="s">
        <v>13</v>
      </c>
      <c r="G9" s="4" t="s">
        <v>32</v>
      </c>
      <c r="H9" s="4" t="s">
        <v>27</v>
      </c>
      <c r="I9" s="4">
        <v>14</v>
      </c>
      <c r="J9" s="4">
        <v>180</v>
      </c>
      <c r="K9" s="4">
        <v>12</v>
      </c>
      <c r="L9" s="4"/>
      <c r="M9" s="4">
        <v>12</v>
      </c>
      <c r="N9" s="4"/>
      <c r="O9" s="4" t="str">
        <f t="shared" si="0"/>
        <v>{2001Q1: {aboveRange:41%,belowRange:17%,inRange:42%}},{2001Q2: {aboveRange:37%,belowRange:21%,inRange:42%}},{2001Q3: {aboveRange:37%,belowRange:21%,inRange:42%}},{2001Q4: {aboveRange:42%,belowRange:18%,inRange:40%}},{2002Q1: {aboveRange:35%,belowRange:22%,inRange:44%}},{2002Q2: {aboveRange:37%,belowRange:13%,inRange:50%}},{2002Q3: {aboveRange:34%,belowRange:20%,inRange:45%}},{2002Q4: {aboveRange:39%,belowRange:18%,inRange:44%}},{2003Q1: {aboveRange:39%,belowRange:19%,inRange:42%}},{2003Q2: {aboveRange:41%,belowRange:15%,inRange:44%}},{2003Q3: {aboveRange:41%,belowRange:14%,inRange:45%}},{2003Q4: {aboveRange:45%,belowRange:13%,inRange:43%}},{2004Q1: {aboveRange:34%,belowRange:18%,inRange:48%}},{2004Q2: {aboveRange:41%,belowRange:18%,inRange:41%}},{2004Q3: {aboveRange:39%,belowRange:17%,inRange:45%}},{2004Q4: {aboveRange:41%,belowRange:13%,inRange:46%}},{2005Q1: {aboveRange:42%,belowRange:16%,inRange:42%}},{2005Q2: {aboveRange:43%,belowRange:14%,inRange:43%}},{2005Q3: {aboveRange:40%,belowRange:18%,inRange:42%}},{2005Q4: {aboveRange:45%,belowRange:17%,inRange:38%}},{2006Q1: {aboveRange:47%,belowRange:16%,inRange:37%}},{2006Q2: {aboveRange:52%,belowRange:15%,inRange:33%}},{2006Q3: {aboveRange:54%,belowRange:13%,inRange:33%}},{2006Q4: {aboveRange:56%,belowRange:15%,inRange:29%}},{2007Q1: {aboveRange:48%,belowRange:15%,inRange:36%}},{2007Q2: {aboveRange:46%,belowRange:20%,inRange:34%}},{2007Q3: {aboveRange:49%,belowRange:16%,inRange:35%}},{2007Q4: {aboveRange:52%,belowRange:17%,inRange:31%}},{2008Q1: {aboveRange:52%,belowRange:12%,inRange:36%}},{2008Q2: {aboveRange:54%,belowRange:13%,inRange:33%}},{2008Q3: {aboveRange:54%,belowRange:11%,inRange:35%}},{2008Q4: {aboveRange:53%,belowRange:8.7%,inRange:38%}},{2009Q1: {aboveRange:51%,belowRange:13%,inRange:36%}},{2009Q2: {aboveRange:51%,belowRange:8.9%,inRange:40%}},{2009Q3: {aboveRange:49%,belowRange:11%,inRange:40%}},{2009Q4: {aboveRange:49%,belowRange:11%,inRange:39%}},{2010Q1: {aboveRange:51%,belowRange:10%,inRange:39%}},{2010Q2: {aboveRange:55%,belowRange:6.9%,inRange:38%}},{2010Q3: {aboveRange:55%,belowRange:9.2%,inRange:35%}},{2010Q4: {aboveRange:56%,belowRange:8.6%,inRange:35%}},{2011Q1: {aboveRange:56%,belowRange:11%,inRange:33%}},{2011Q2: {aboveRange:57%,belowRange:11%,inRange:32%}},{2011Q3: {aboveRange:65%,belowRange:6.0%,inRange:28%}},{2011Q4: {aboveRange:68%,belowRange:5.7%,inRange:26%}},{2012Q1: {aboveRange:64%,belowRange:6.3%,inRange:29%}},</v>
      </c>
      <c r="P9" s="4">
        <v>12</v>
      </c>
      <c r="Q9" s="4"/>
      <c r="R9" s="4">
        <v>12</v>
      </c>
      <c r="S9" s="4"/>
      <c r="T9" s="4">
        <v>11</v>
      </c>
      <c r="V9" t="str">
        <f t="shared" si="1"/>
        <v>{2001Q1: {aboveRange:65%,belowRange:4.0%,inRange:31%}},{2001Q2: {aboveRange:60%,belowRange:6.1%,inRange:33%}},{2001Q3: {aboveRange:60%,belowRange:5.4%,inRange:35%}},{2001Q4: {aboveRange:64%,belowRange:5.8%,inRange:30%}},{2002Q1: {aboveRange:59%,belowRange:8.8%,inRange:32%}},{2002Q2: {aboveRange:64%,belowRange:4.6%,inRange:32%}},{2002Q3: {aboveRange:59%,belowRange:7.5%,inRange:34%}},{2002Q4: {aboveRange:62%,belowRange:5.9%,inRange:32%}},{2003Q1: {aboveRange:59%,belowRange:5.8%,inRange:35%}},{2003Q2: {aboveRange:62%,belowRange:7.1%,inRange:31%}},{2003Q3: {aboveRange:65%,belowRange:3.9%,inRange:32%}},{2003Q4: {aboveRange:74%,belowRange:3.7%,inRange:22%}},{2004Q1: {aboveRange:63%,belowRange:4.7%,inRange:32%}},{2004Q2: {aboveRange:65%,belowRange:6.4%,inRange:28%}},{2004Q3: {aboveRange:64%,belowRange:7.2%,inRange:29%}},{2004Q4: {aboveRange:65%,belowRange:3.2%,inRange:31%}},{2005Q1: {aboveRange:65%,belowRange:5.9%,inRange:30%}},{2005Q2: {aboveRange:69%,belowRange:5.9%,inRange:26%}},{2005Q3: {aboveRange:65%,belowRange:5.5%,inRange:29%}},{2005Q4: {aboveRange:63%,belowRange:6.1%,inRange:31%}},{2006Q1: {aboveRange:69%,belowRange:4.9%,inRange:26%}},{2006Q2: {aboveRange:70%,belowRange:3.9%,inRange:26%}},{2006Q3: {aboveRange:73%,belowRange:5.1%,inRange:21%}},{2006Q4: {aboveRange:72%,belowRange:6.1%,inRange:22%}},{2007Q1: {aboveRange:67%,belowRange:4.8%,inRange:28%}},{2007Q2: {aboveRange:64%,belowRange:6.8%,inRange:29%}},{2007Q3: {aboveRange:65%,belowRange:3.0%,inRange:32%}},{2007Q4: {aboveRange:68%,belowRange:5.7%,inRange:26%}},{2008Q1: {aboveRange:75%,belowRange:4.8%,inRange:20%}},{2008Q2: {aboveRange:74%,belowRange:3.5%,inRange:23%}},{2008Q3: {aboveRange:77%,belowRange:2.8%,inRange:20%}},{2008Q4: {aboveRange:76%,belowRange:2.8%,inRange:21%}},{2009Q1: {aboveRange:73%,belowRange:4.6%,inRange:23%}},{2009Q2: {aboveRange:73%,belowRange:2.8%,inRange:25%}},{2009Q3: {aboveRange:71%,belowRange:2.6%,inRange:27%}},{2009Q4: {aboveRange:72%,belowRange:2.4%,inRange:26%}},{2010Q1: {aboveRange:74%,belowRange:3.2%,inRange:22%}},{2010Q2: {aboveRange:78%,belowRange:2.3%,inRange:20%}},{2010Q3: {aboveRange:78%,belowRange:3.1%,inRange:19%}},{2010Q4: {aboveRange:77%,belowRange:2.9%,inRange:20%}},{2011Q1: {aboveRange:75%,belowRange:3.9%,inRange:21%}},{2011Q2: {aboveRange:78%,belowRange:2.4%,inRange:20%}},{2011Q3: {aboveRange:85%,belowRange:1.4%,inRange:13%}},{2011Q4: {aboveRange:85%,belowRange:2.4%,inRange:13%}},{2012Q1: {aboveRange:84%,belowRange:1.2%,inRange:15%}},</v>
      </c>
      <c r="W9" s="4">
        <v>11</v>
      </c>
      <c r="Y9" s="4">
        <v>11</v>
      </c>
      <c r="AA9" s="4">
        <v>9</v>
      </c>
      <c r="AC9" t="str">
        <f t="shared" si="2"/>
        <v>{2001Q1: {aboveRange:96%,inRange:4.0%}},{2001Q2: {aboveRange:94%,belowRange:0.4%,inRange:5.8%}},{2001Q3: {aboveRange:95%,belowRange:0.3%,inRange:5.1%}},{2001Q4: {aboveRange:94%,inRange:5.8%}},{2002Q1: {aboveRange:91%,belowRange:1.4%,inRange:7.5%}},{2002Q2: {aboveRange:95%,inRange:4.6%}},{2002Q3: {aboveRange:92%,inRange:7.5%}},{2002Q4: {aboveRange:94%,inRange:5.9%}},{2003Q1: {aboveRange:94%,inRange:5.8%}},{2003Q2: {aboveRange:93%,belowRange:0.3%,inRange:6.8%}},{2003Q3: {aboveRange:96%,inRange:3.9%}},{2003Q4: {aboveRange:96%,belowRange:0.6%,inRange:3.1%}},{2004Q1: {aboveRange:95%,belowRange:0.3%,inRange:4.4%}},{2004Q2: {aboveRange:94%,inRange:6.4%}},{2004Q3: {aboveRange:93%,inRange:7.2%}},{2004Q4: {aboveRange:97%,inRange:3.2%}},{2005Q1: {aboveRange:94%,belowRange:0.6%,inRange:5.3%}},{2005Q2: {aboveRange:94%,belowRange:0.2%,inRange:5.7%}},{2005Q3: {aboveRange:95%,inRange:5.5%}},{2005Q4: {aboveRange:94%,belowRange:0.3%,inRange:5.8%}},{2006Q1: {aboveRange:95%,belowRange:0.3%,inRange:4.7%}},{2006Q2: {aboveRange:96%,belowRange:0.3%,inRange:3.6%}},{2006Q3: {aboveRange:95%,belowRange:0.3%,inRange:4.8%}},{2006Q4: {aboveRange:94%,belowRange:0.6%,inRange:5.5%}},{2007Q1: {aboveRange:95%,inRange:4.8%}},{2007Q2: {aboveRange:93%,belowRange:0.5%,inRange:6.0%}},{2007Q3: {aboveRange:97%,belowRange:0.6%,inRange:2.4%}},{2007Q4: {aboveRange:94%,inRange:5.7%}},{2008Q1: {aboveRange:95%,inRange:4.8%}},{2008Q2: {aboveRange:97%,inRange:3.5%}},{2008Q3: {aboveRange:97%,inRange:2.8%}},{2008Q4: {aboveRange:97%,inRange:2.8%}},{2009Q1: {aboveRange:95%,inRange:4.6%}},{2009Q2: {aboveRange:97%,inRange:2.8%}},{2009Q3: {aboveRange:97%,inRange:2.6%}},{2009Q4: {aboveRange:98%,inRange:2.4%}},{2010Q1: {aboveRange:97%,inRange:3.2%}},{2010Q2: {aboveRange:98%,belowRange:0.3%,inRange:2.0%}},{2010Q3: {aboveRange:97%,inRange:3.1%}},{2010Q4: {aboveRange:97%,inRange:2.9%}},{2011Q1: {aboveRange:96%,inRange:3.9%}},{2011Q2: {aboveRange:98%,inRange:2.4%}},{2011Q3: {aboveRange:99%,inRange:1.4%}},{2011Q4: {aboveRange:98%,belowRange:0.2%,inRange:2.2%}},{2012Q1: {aboveRange:99%,belowRange:0.2%,inRange:1.0%}},</v>
      </c>
      <c r="BF9" s="4">
        <v>9</v>
      </c>
      <c r="BH9" s="4">
        <v>14</v>
      </c>
      <c r="BI9" s="4">
        <v>180</v>
      </c>
      <c r="BJ9" s="4">
        <v>14</v>
      </c>
      <c r="BK9" s="4">
        <v>720</v>
      </c>
      <c r="BL9" t="s">
        <v>61</v>
      </c>
      <c r="BM9" t="s">
        <v>62</v>
      </c>
      <c r="BN9" t="s">
        <v>63</v>
      </c>
      <c r="BO9" t="s">
        <v>64</v>
      </c>
      <c r="BP9" s="4"/>
      <c r="BQ9" s="4"/>
      <c r="BR9" s="4"/>
      <c r="BS9" s="4"/>
      <c r="BT9" s="5">
        <v>848</v>
      </c>
    </row>
    <row r="10" spans="1:87">
      <c r="A10" s="4">
        <v>1</v>
      </c>
      <c r="B10" s="6" t="s">
        <v>48</v>
      </c>
      <c r="C10" s="4" t="s">
        <v>34</v>
      </c>
      <c r="D10" s="4" t="s">
        <v>65</v>
      </c>
      <c r="E10" s="4" t="s">
        <v>12</v>
      </c>
      <c r="F10" s="4" t="s">
        <v>13</v>
      </c>
      <c r="G10" s="4" t="s">
        <v>32</v>
      </c>
      <c r="H10" s="4" t="s">
        <v>30</v>
      </c>
      <c r="I10" s="4">
        <v>14</v>
      </c>
      <c r="J10" s="4">
        <v>1440</v>
      </c>
      <c r="K10" s="4">
        <v>14</v>
      </c>
      <c r="L10" s="4">
        <v>1080</v>
      </c>
      <c r="M10" s="4">
        <v>14</v>
      </c>
      <c r="N10" s="4">
        <v>900</v>
      </c>
      <c r="O10" s="4" t="str">
        <f t="shared" si="0"/>
        <v>{2001Q1: {aboveRange:0.2%,belowRange:91%,inRange:8.8%}},{2001Q2: {aboveRange:0.2%,belowRange:92%,inRange:8.1%}},{2001Q3: {aboveRange:0.2%,belowRange:90%,inRange:9.9%}},{2001Q4: {aboveRange:0.2%,belowRange:90%,inRange:9.7%}},{2002Q1: {aboveRange:0.2%,belowRange:91%,inRange:8.9%}},{2002Q2: {aboveRange:0.4%,belowRange:90%,inRange:9.6%}},{2002Q3: {aboveRange:0.3%,belowRange:90%,inRange:9.9%}},{2002Q4: {aboveRange:0.3%,belowRange:91%,inRange:9.0%}},{2003Q1: {aboveRange:0.1%,belowRange:91%,inRange:9.0%}},{2003Q2: {aboveRange:0.1%,belowRange:90%,inRange:9.9%}},{2003Q3: {aboveRange:0.5%,belowRange:91%,inRange:8.6%}},{2003Q4: {aboveRange:0.3%,belowRange:90%,inRange:9.6%}},{2004Q1: {aboveRange:0.4%,belowRange:91%,inRange:9.1%}},{2004Q2: {aboveRange:0.3%,belowRange:89%,inRange:11%}},{2004Q3: {aboveRange:0.3%,belowRange:89%,inRange:10%}},{2004Q4: {aboveRange:0.3%,belowRange:88%,inRange:12%}},{2005Q1: {aboveRange:0.2%,belowRange:88%,inRange:12%}},{2005Q2: {aboveRange:0.3%,belowRange:87%,inRange:13%}},{2005Q3: {aboveRange:0.6%,belowRange:86%,inRange:13%}},{2005Q4: {aboveRange:0.7%,belowRange:87%,inRange:13%}},{2006Q1: {aboveRange:0.8%,belowRange:87%,inRange:12%}},{2006Q2: {aboveRange:0.3%,belowRange:87%,inRange:13%}},{2006Q3: {aboveRange:0.6%,belowRange:88%,inRange:12%}},{2006Q4: {aboveRange:0.5%,belowRange:86%,inRange:13%}},{2007Q1: {aboveRange:0.4%,belowRange:86%,inRange:13%}},{2007Q2: {aboveRange:0.3%,belowRange:88%,inRange:12%}},{2007Q3: {aboveRange:0.5%,belowRange:86%,inRange:13%}},{2007Q4: {aboveRange:0.8%,belowRange:87%,inRange:12%}},{2008Q1: {aboveRange:0.8%,belowRange:87%,inRange:12%}},{2008Q2: {aboveRange:1.5%,belowRange:86%,inRange:13%}},{2008Q3: {aboveRange:0.8%,belowRange:85%,inRange:14%}},{2008Q4: {aboveRange:0.4%,belowRange:86%,inRange:14%}},{2009Q1: {aboveRange:0.5%,belowRange:86%,inRange:14%}},{2009Q2: {aboveRange:0.3%,belowRange:86%,inRange:14%}},{2009Q3: {aboveRange:0.6%,belowRange:86%,inRange:14%}},{2009Q4: {aboveRange:0.3%,belowRange:84%,inRange:15%}},{2010Q1: {aboveRange:0.5%,belowRange:85%,inRange:14%}},{2010Q2: {aboveRange:0.4%,belowRange:85%,inRange:14%}},{2010Q3: {aboveRange:0.3%,belowRange:86%,inRange:14%}},{2010Q4: {aboveRange:0.2%,belowRange:87%,inRange:13%}},{2011Q1: {aboveRange:0.2%,belowRange:84%,inRange:15%}},{2011Q2: {aboveRange:0.4%,belowRange:84%,inRange:15%}},{2011Q3: {aboveRange:0.2%,belowRange:85%,inRange:14%}},{2011Q4: {aboveRange:0.2%,belowRange:82%,inRange:18%}},{2012Q1: {aboveRange:0.3%,belowRange:82%,inRange:17%}},</v>
      </c>
      <c r="P10" s="4">
        <v>14</v>
      </c>
      <c r="Q10" s="4">
        <v>1080</v>
      </c>
      <c r="R10" s="4">
        <v>14</v>
      </c>
      <c r="S10" s="4">
        <v>540</v>
      </c>
      <c r="T10" s="4">
        <v>14</v>
      </c>
      <c r="U10">
        <v>360</v>
      </c>
      <c r="V10" t="str">
        <f t="shared" si="1"/>
        <v>{2001Q1: {aboveRange:9.0%,belowRange:17%,inRange:74%}},{2001Q2: {aboveRange:8.3%,belowRange:18%,inRange:73%}},{2001Q3: {aboveRange:10%,belowRange:18%,inRange:72%}},{2001Q4: {aboveRange:9.8%,belowRange:17%,inRange:73%}},{2002Q1: {aboveRange:9.1%,belowRange:17%,inRange:74%}},{2002Q2: {aboveRange:9.9%,belowRange:17%,inRange:73%}},{2002Q3: {aboveRange:10%,belowRange:17%,inRange:73%}},{2002Q4: {aboveRange:9.3%,belowRange:16%,inRange:75%}},{2003Q1: {aboveRange:9.1%,belowRange:17%,inRange:74%}},{2003Q2: {aboveRange:10%,belowRange:18%,inRange:72%}},{2003Q3: {aboveRange:9.1%,belowRange:16%,inRange:75%}},{2003Q4: {aboveRange:9.9%,belowRange:15%,inRange:75%}},{2004Q1: {aboveRange:9.5%,belowRange:15%,inRange:75%}},{2004Q2: {aboveRange:11%,belowRange:14%,inRange:75%}},{2004Q3: {aboveRange:11%,belowRange:13%,inRange:76%}},{2004Q4: {aboveRange:12%,belowRange:12%,inRange:76%}},{2005Q1: {aboveRange:12%,belowRange:11%,inRange:77%}},{2005Q2: {aboveRange:13%,belowRange:9.6%,inRange:77%}},{2005Q3: {aboveRange:14%,belowRange:10%,inRange:76%}},{2005Q4: {aboveRange:13%,belowRange:9.8%,inRange:77%}},{2006Q1: {aboveRange:13%,belowRange:9.4%,inRange:78%}},{2006Q2: {aboveRange:13%,belowRange:8.2%,inRange:79%}},{2006Q3: {aboveRange:12%,belowRange:7.4%,inRange:80%}},{2006Q4: {aboveRange:14%,belowRange:7.4%,inRange:79%}},{2007Q1: {aboveRange:14%,belowRange:8.7%,inRange:78%}},{2007Q2: {aboveRange:12%,belowRange:8.1%,inRange:80%}},{2007Q3: {aboveRange:14%,belowRange:7.3%,inRange:79%}},{2007Q4: {aboveRange:13%,belowRange:5.9%,inRange:81%}},{2008Q1: {aboveRange:13%,belowRange:6.2%,inRange:81%}},{2008Q2: {aboveRange:14%,belowRange:5.5%,inRange:80%}},{2008Q3: {aboveRange:15%,belowRange:4.0%,inRange:81%}},{2008Q4: {aboveRange:14%,belowRange:4.2%,inRange:82%}},{2009Q1: {aboveRange:14%,belowRange:3.9%,inRange:82%}},{2009Q2: {aboveRange:14%,belowRange:4.2%,inRange:82%}},{2009Q3: {aboveRange:14%,belowRange:4.1%,inRange:82%}},{2009Q4: {aboveRange:16%,belowRange:3.1%,inRange:81%}},{2010Q1: {aboveRange:15%,belowRange:4.0%,inRange:81%}},{2010Q2: {aboveRange:15%,belowRange:3.8%,inRange:81%}},{2010Q3: {aboveRange:14%,belowRange:3.7%,inRange:83%}},{2010Q4: {aboveRange:13%,belowRange:3.6%,inRange:83%}},{2011Q1: {aboveRange:16%,belowRange:3.6%,inRange:81%}},{2011Q2: {aboveRange:16%,belowRange:4.0%,inRange:80%}},{2011Q3: {aboveRange:15%,belowRange:3.9%,inRange:81%}},{2011Q4: {aboveRange:18%,belowRange:3.5%,inRange:78%}},{2012Q1: {aboveRange:18%,belowRange:3.2%,inRange:79%}},</v>
      </c>
      <c r="W10" s="4">
        <v>14</v>
      </c>
      <c r="X10">
        <v>353</v>
      </c>
      <c r="Y10" s="4">
        <v>12</v>
      </c>
      <c r="AA10" s="4">
        <v>12</v>
      </c>
      <c r="AC10" t="str">
        <f t="shared" si="2"/>
        <v>{2001Q1: {aboveRange:33%,belowRange:9.5%,inRange:58%}},{2001Q2: {aboveRange:34%,belowRange:9.5%,inRange:57%}},{2001Q3: {aboveRange:34%,belowRange:9.6%,inRange:57%}},{2001Q4: {aboveRange:34%,belowRange:8.1%,inRange:58%}},{2002Q1: {aboveRange:32%,belowRange:8.8%,inRange:59%}},{2002Q2: {aboveRange:33%,belowRange:8.7%,inRange:59%}},{2002Q3: {aboveRange:31%,belowRange:9.2%,inRange:60%}},{2002Q4: {aboveRange:32%,belowRange:8.4%,inRange:60%}},{2003Q1: {aboveRange:29%,belowRange:9.0%,inRange:61%}},{2003Q2: {aboveRange:31%,belowRange:9.5%,inRange:60%}},{2003Q3: {aboveRange:30%,belowRange:8.9%,inRange:61%}},{2003Q4: {aboveRange:33%,belowRange:7.7%,inRange:59%}},{2004Q1: {aboveRange:31%,belowRange:9.0%,inRange:60%}},{2004Q2: {aboveRange:33%,belowRange:7.5%,inRange:60%}},{2004Q3: {aboveRange:33%,belowRange:7.3%,inRange:60%}},{2004Q4: {aboveRange:36%,belowRange:6.8%,inRange:57%}},{2005Q1: {aboveRange:35%,belowRange:6.2%,inRange:59%}},{2005Q2: {aboveRange:37%,belowRange:5.4%,inRange:58%}},{2005Q3: {aboveRange:40%,belowRange:5.6%,inRange:54%}},{2005Q4: {aboveRange:41%,belowRange:5.8%,inRange:53%}},{2006Q1: {aboveRange:45%,belowRange:5.3%,inRange:49%}},{2006Q2: {aboveRange:52%,belowRange:5.0%,inRange:43%}},{2006Q3: {aboveRange:55%,belowRange:4.0%,inRange:41%}},{2006Q4: {aboveRange:56%,belowRange:3.8%,inRange:40%}},{2007Q1: {aboveRange:57%,belowRange:4.4%,inRange:38%}},{2007Q2: {aboveRange:56%,belowRange:4.4%,inRange:39%}},{2007Q3: {aboveRange:61%,belowRange:4.0%,inRange:35%}},{2007Q4: {aboveRange:62%,belowRange:3.3%,inRange:35%}},{2008Q1: {aboveRange:63%,belowRange:3.9%,inRange:33%}},{2008Q2: {aboveRange:61%,belowRange:3.3%,inRange:35%}},{2008Q3: {aboveRange:63%,belowRange:2.1%,inRange:35%}},{2008Q4: {aboveRange:62%,belowRange:2.5%,inRange:35%}},{2009Q1: {aboveRange:62%,belowRange:2.2%,inRange:36%}},{2009Q2: {aboveRange:64%,belowRange:2.1%,inRange:34%}},{2009Q3: {aboveRange:65%,belowRange:2.3%,inRange:32%}},{2009Q4: {aboveRange:65%,belowRange:1.7%,inRange:33%}},{2010Q1: {aboveRange:65%,belowRange:2.4%,inRange:33%}},{2010Q2: {aboveRange:64%,belowRange:2.2%,inRange:34%}},{2010Q3: {aboveRange:62%,belowRange:2.5%,inRange:36%}},{2010Q4: {aboveRange:61%,belowRange:2.2%,inRange:36%}},{2011Q1: {aboveRange:65%,belowRange:2.0%,inRange:33%}},{2011Q2: {aboveRange:64%,belowRange:2.5%,inRange:33%}},{2011Q3: {aboveRange:65%,belowRange:1.7%,inRange:33%}},{2011Q4: {aboveRange:69%,belowRange:1.6%,inRange:29%}},{2012Q1: {aboveRange:71%,belowRange:1.5%,inRange:28%}},</v>
      </c>
      <c r="BF10" s="4">
        <v>12</v>
      </c>
      <c r="BH10" s="4">
        <v>14</v>
      </c>
      <c r="BI10" s="4">
        <v>1440</v>
      </c>
      <c r="BJ10" s="4">
        <v>14</v>
      </c>
      <c r="BK10" s="4">
        <v>2520</v>
      </c>
      <c r="BL10" t="s">
        <v>49</v>
      </c>
      <c r="BM10" t="s">
        <v>50</v>
      </c>
      <c r="BN10" t="s">
        <v>51</v>
      </c>
      <c r="BO10" t="s">
        <v>52</v>
      </c>
      <c r="BP10" s="4"/>
      <c r="BQ10" s="4"/>
      <c r="BR10" s="4"/>
      <c r="BS10" s="4"/>
      <c r="BT10" s="5">
        <v>859</v>
      </c>
    </row>
    <row r="11" spans="1:87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W11" s="4"/>
      <c r="Y11" s="4"/>
      <c r="AA11" s="4"/>
      <c r="BF11" s="4"/>
      <c r="BH11" s="4"/>
      <c r="BI11" s="4"/>
      <c r="BJ11" s="4"/>
      <c r="BK11" s="4"/>
      <c r="BP11" s="4"/>
      <c r="BQ11" s="4"/>
      <c r="BR11" s="4"/>
      <c r="BS11" s="4"/>
      <c r="BT11" s="5"/>
    </row>
    <row r="12" spans="1:87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W12" s="4"/>
      <c r="Y12" s="4"/>
      <c r="AA12" s="4"/>
      <c r="BF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5"/>
    </row>
    <row r="13" spans="1:87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W13" s="4"/>
      <c r="Y13" s="4"/>
      <c r="AA13" s="4"/>
      <c r="BF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5"/>
    </row>
    <row r="14" spans="1:87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W14" s="4"/>
      <c r="Y14" s="4"/>
      <c r="AA14" s="4"/>
      <c r="BF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>
    <row r="1" spans="1:1">
      <c r="A1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myce</vt:lpstr>
      <vt:lpstr>MyCells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</dc:creator>
  <cp:lastModifiedBy>Robin</cp:lastModifiedBy>
  <dcterms:created xsi:type="dcterms:W3CDTF">2013-02-03T22:00:30Z</dcterms:created>
  <dcterms:modified xsi:type="dcterms:W3CDTF">2013-02-04T22:50:07Z</dcterms:modified>
</cp:coreProperties>
</file>